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g\Desktop\DoAn\Test Data\"/>
    </mc:Choice>
  </mc:AlternateContent>
  <xr:revisionPtr revIDLastSave="0" documentId="13_ncr:1_{62A0CAF2-6CA9-4DC8-B68D-B6CFB6AABADA}" xr6:coauthVersionLast="47" xr6:coauthVersionMax="47" xr10:uidLastSave="{00000000-0000-0000-0000-000000000000}"/>
  <bookViews>
    <workbookView xWindow="-108" yWindow="-108" windowWidth="23256" windowHeight="12576" activeTab="3" xr2:uid="{3A99CD61-254A-4D42-B7F7-2462B8B6DE8A}"/>
  </bookViews>
  <sheets>
    <sheet name="Brands" sheetId="1" r:id="rId1"/>
    <sheet name="Categories" sheetId="2" r:id="rId2"/>
    <sheet name="Products" sheetId="3" r:id="rId3"/>
    <sheet name="Sale" sheetId="4" r:id="rId4"/>
    <sheet name="Rank" sheetId="5" r:id="rId5"/>
    <sheet name="Bank Accou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4" i="3"/>
  <c r="G4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5" i="3"/>
  <c r="G6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<sst xmlns="http://schemas.openxmlformats.org/spreadsheetml/2006/main" count="822" uniqueCount="491">
  <si>
    <t>Code</t>
  </si>
  <si>
    <t>SGB2</t>
  </si>
  <si>
    <t>Watch</t>
  </si>
  <si>
    <t>Phone</t>
  </si>
  <si>
    <t>A mobile phone (or cellphone[a]) is a portable telephone that can make and receive calls over a radio frequency link while the user is moving within a telephone service area, as opposed to a fixed-location phone (landline phone).</t>
  </si>
  <si>
    <t>Laptop</t>
  </si>
  <si>
    <t>Apple</t>
  </si>
  <si>
    <t>Apple Inc. designs, manufactures and markets smartphones, personal computers, tablets, wearables and accessories, and sells a variety of related services.</t>
  </si>
  <si>
    <t>SamSung</t>
  </si>
  <si>
    <t>Samsung, South Korean company that is one of the world's largest producers of electronic devices.</t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</si>
  <si>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sản phẩm</t>
    </r>
  </si>
  <si>
    <r>
      <rPr>
        <b/>
        <sz val="14"/>
        <color theme="1"/>
        <rFont val="Calibri"/>
        <family val="2"/>
        <scheme val="minor"/>
      </rPr>
      <t>Category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Loại sản phẩm</t>
    </r>
  </si>
  <si>
    <r>
      <rPr>
        <b/>
        <sz val="14"/>
        <color theme="1"/>
        <rFont val="Calibri"/>
        <family val="2"/>
        <scheme val="minor"/>
      </rPr>
      <t>Brand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Thương hiệu</t>
    </r>
  </si>
  <si>
    <r>
      <rPr>
        <b/>
        <sz val="14"/>
        <color theme="1"/>
        <rFont val="Calibri"/>
        <family val="2"/>
        <scheme val="minor"/>
      </rPr>
      <t>Buying Prices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mua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*Tối thiểu 100$</t>
    </r>
  </si>
  <si>
    <r>
      <rPr>
        <b/>
        <sz val="14"/>
        <color theme="1"/>
        <rFont val="Calibri"/>
        <family val="2"/>
        <scheme val="minor"/>
      </rPr>
      <t>Selling Prices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bán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*Tối thiểu 100$</t>
    </r>
  </si>
  <si>
    <r>
      <t xml:space="preserve">Storages
</t>
    </r>
    <r>
      <rPr>
        <sz val="11"/>
        <color theme="0" tint="-0.499984740745262"/>
        <rFont val="Calibri"/>
        <family val="2"/>
        <scheme val="minor"/>
      </rPr>
      <t>Tồn kho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*Từ 0 trở lên</t>
    </r>
  </si>
  <si>
    <r>
      <rPr>
        <b/>
        <sz val="14"/>
        <color theme="1"/>
        <rFont val="Calibri"/>
        <family val="2"/>
        <scheme val="minor"/>
      </rPr>
      <t>Amount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Số lượng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*Từ 1 trở lên</t>
    </r>
  </si>
  <si>
    <t>IP15PM</t>
  </si>
  <si>
    <t>MBAM2</t>
  </si>
  <si>
    <t>Điện thoại</t>
  </si>
  <si>
    <t>Samsung Galaxy S23 Ultra 5G</t>
  </si>
  <si>
    <t>SS23U</t>
  </si>
  <si>
    <t>SW6</t>
  </si>
  <si>
    <t>IP15P</t>
  </si>
  <si>
    <t>iPhone 15 Plus</t>
  </si>
  <si>
    <t>iPhone 15 Pro Max</t>
  </si>
  <si>
    <t>iPhone 15</t>
  </si>
  <si>
    <t>IP15</t>
  </si>
  <si>
    <t>iPhone 15 Pro</t>
  </si>
  <si>
    <t>iPhone 14 Pro Max</t>
  </si>
  <si>
    <t>IP14PM</t>
  </si>
  <si>
    <t>iPhone 14 Pro</t>
  </si>
  <si>
    <t>IP14P</t>
  </si>
  <si>
    <t>IP15PL</t>
  </si>
  <si>
    <t>IP14PL</t>
  </si>
  <si>
    <t>iPhone 14 Plus</t>
  </si>
  <si>
    <t>iPhone 14</t>
  </si>
  <si>
    <t>IP14</t>
  </si>
  <si>
    <t>IP13PM</t>
  </si>
  <si>
    <t>iPhone 13 Pro Max</t>
  </si>
  <si>
    <t>IP13P</t>
  </si>
  <si>
    <t>iPhone 13 Pro</t>
  </si>
  <si>
    <t>iPhone 13</t>
  </si>
  <si>
    <t>IP13</t>
  </si>
  <si>
    <t>IP12PM</t>
  </si>
  <si>
    <t>iPhone 12 Pro Max</t>
  </si>
  <si>
    <t>IP12P</t>
  </si>
  <si>
    <t>iPhone 12 Pro</t>
  </si>
  <si>
    <t xml:space="preserve">IP12 </t>
  </si>
  <si>
    <t>iPhone 12</t>
  </si>
  <si>
    <t>IP11</t>
  </si>
  <si>
    <t>iPhone 11</t>
  </si>
  <si>
    <t>Samsung Galaxy S22 Ultra</t>
  </si>
  <si>
    <t>SS22U</t>
  </si>
  <si>
    <t>SGZF5</t>
  </si>
  <si>
    <t>SGZFL5</t>
  </si>
  <si>
    <t>Samsung Galaxy S23 Ultra</t>
  </si>
  <si>
    <t>Samsung Galaxy S23</t>
  </si>
  <si>
    <t>SS23</t>
  </si>
  <si>
    <t>Samsung Galaxy S22</t>
  </si>
  <si>
    <t>Samsung Galaxy S22 Plus</t>
  </si>
  <si>
    <t>SS22P</t>
  </si>
  <si>
    <t>SS22</t>
  </si>
  <si>
    <t>Samsung Galaxy S23 Plus</t>
  </si>
  <si>
    <t>SS23P</t>
  </si>
  <si>
    <t>Samsung Galaxy S23 FE 5G</t>
  </si>
  <si>
    <t>SS23FE5G</t>
  </si>
  <si>
    <t>Tổng số sản phẩm</t>
  </si>
  <si>
    <t>Samsung Galaxy S21 Ultra 5G</t>
  </si>
  <si>
    <t>SS21U5G</t>
  </si>
  <si>
    <t>SS23U5G</t>
  </si>
  <si>
    <t>Samsung Galaxy S21 Plus 5G</t>
  </si>
  <si>
    <t>SS21P5G</t>
  </si>
  <si>
    <t>Samsung Galaxy S21 FE 5G</t>
  </si>
  <si>
    <t>SS21FE5G</t>
  </si>
  <si>
    <t>Samsung Galaxy S21 5G</t>
  </si>
  <si>
    <t>SS215G</t>
  </si>
  <si>
    <t>Apple MacBook Air M1</t>
  </si>
  <si>
    <t>MBAM1</t>
  </si>
  <si>
    <t>Apple MacBook Air M2</t>
  </si>
  <si>
    <t>Apple Macbook Pro 13 inch M2</t>
  </si>
  <si>
    <t>Apple Macbook Pro 14 inch M3</t>
  </si>
  <si>
    <t>Apple Macbook Pro 16 inch M1 Max</t>
  </si>
  <si>
    <t>Apple Macbook Pro 16 inch M3 Max</t>
  </si>
  <si>
    <t>Apple Macbook Pro 14 inch M3 Max</t>
  </si>
  <si>
    <t>Apple Macbook Pro 16 inch M3</t>
  </si>
  <si>
    <t>Apple MacBook Pro 16 inch M2</t>
  </si>
  <si>
    <t>Apple Macbook Pro 14 inch M1</t>
  </si>
  <si>
    <t>MBP16M3M</t>
  </si>
  <si>
    <t>MBP14M3M</t>
  </si>
  <si>
    <t>MBP16M3</t>
  </si>
  <si>
    <t>MBP14M3</t>
  </si>
  <si>
    <t>MBP16M2</t>
  </si>
  <si>
    <t>MBP13M2</t>
  </si>
  <si>
    <t>MBP16M1M</t>
  </si>
  <si>
    <t>MBP14M1</t>
  </si>
  <si>
    <t>MBP13TM1</t>
  </si>
  <si>
    <t>Apple Watch Series 9 45mm</t>
  </si>
  <si>
    <t>Apple Watch Series 9 41mm</t>
  </si>
  <si>
    <t>Apple Watch Series 8 41mm</t>
  </si>
  <si>
    <t>Apple Watch Series 8 45mm</t>
  </si>
  <si>
    <t>Apple Watch Series 7 41mm</t>
  </si>
  <si>
    <t>Apple Watch Series 7 45mm</t>
  </si>
  <si>
    <t>Apple Watch SE 2 44mm</t>
  </si>
  <si>
    <t>Apple Watch SE 2 40mm</t>
  </si>
  <si>
    <t>Apple Watch SE 44mm</t>
  </si>
  <si>
    <t>Apple Watch SE 40mm</t>
  </si>
  <si>
    <t>Apple Watch SE 44mm LTE</t>
  </si>
  <si>
    <t>Apple Watch SE 40mm LTE</t>
  </si>
  <si>
    <t>Apple Watch Ultra 2 49mm</t>
  </si>
  <si>
    <t>Apple Watch Ultra 49mm</t>
  </si>
  <si>
    <t>Samsung Galaxy Watch 6 44mm</t>
  </si>
  <si>
    <t>Samsung Galaxy Watch 6 40mm</t>
  </si>
  <si>
    <t>Samsung Galaxy Watch 6 Classic 47mm Bluetooth</t>
  </si>
  <si>
    <t>Samsung Galaxy Watch 5 Pro</t>
  </si>
  <si>
    <t>Samsung Galaxy Watch 5 44mm</t>
  </si>
  <si>
    <t>Samsung Galaxy Watch 5 44mm LTE</t>
  </si>
  <si>
    <t>Samsung Galaxy Watch 6 Classic 43mm Bluetooth</t>
  </si>
  <si>
    <t>SW6C47B</t>
  </si>
  <si>
    <t>SW6C43B</t>
  </si>
  <si>
    <t>SW640</t>
  </si>
  <si>
    <t>SW5P</t>
  </si>
  <si>
    <t>SW544</t>
  </si>
  <si>
    <t>SW544LTE</t>
  </si>
  <si>
    <t>AWS945</t>
  </si>
  <si>
    <t>AWS941</t>
  </si>
  <si>
    <t>AWS845</t>
  </si>
  <si>
    <t>AWS841</t>
  </si>
  <si>
    <t>AWS745</t>
  </si>
  <si>
    <t>AWS741</t>
  </si>
  <si>
    <t>AWSE244</t>
  </si>
  <si>
    <t>AWSE240</t>
  </si>
  <si>
    <t>AWSE44LTE</t>
  </si>
  <si>
    <t>AWSE44</t>
  </si>
  <si>
    <t>AWSE40LTE</t>
  </si>
  <si>
    <t>AWSE40</t>
  </si>
  <si>
    <t>AWU249</t>
  </si>
  <si>
    <t>AWU49</t>
  </si>
  <si>
    <t>Apple AirPods 3</t>
  </si>
  <si>
    <t>Apple AirPods 3 MagSafe</t>
  </si>
  <si>
    <t>Samsung Galaxy Buds 2</t>
  </si>
  <si>
    <t>Samsung Galaxy Buds 2 Pro</t>
  </si>
  <si>
    <t>Samsung Galaxy Buds FE</t>
  </si>
  <si>
    <t>SGB2P</t>
  </si>
  <si>
    <t>SGBFE</t>
  </si>
  <si>
    <t>Apple AirPods 2</t>
  </si>
  <si>
    <t>Apple AirPods Pro 2 USB-C</t>
  </si>
  <si>
    <t>Apple AirPods Pro Magsafe</t>
  </si>
  <si>
    <t>AAP2USB</t>
  </si>
  <si>
    <t>AAP</t>
  </si>
  <si>
    <t>AA3M</t>
  </si>
  <si>
    <t>AA3</t>
  </si>
  <si>
    <t>AA2</t>
  </si>
  <si>
    <t>AAPM</t>
  </si>
  <si>
    <t>Tai nghe</t>
  </si>
  <si>
    <t>JBL</t>
  </si>
  <si>
    <t>JBL Tune Flex</t>
  </si>
  <si>
    <t>JTF</t>
  </si>
  <si>
    <t>JBL Tune 230 TWS</t>
  </si>
  <si>
    <t>JT230TWS</t>
  </si>
  <si>
    <t>JBL Tune Beam</t>
  </si>
  <si>
    <t>JTB</t>
  </si>
  <si>
    <t>JBL Wave Beam</t>
  </si>
  <si>
    <t>JWB</t>
  </si>
  <si>
    <t>JBL Tune 115 TWS</t>
  </si>
  <si>
    <t>JT115TWS</t>
  </si>
  <si>
    <t>JBL Tune 120 TWS</t>
  </si>
  <si>
    <t>JT120TWS</t>
  </si>
  <si>
    <t>JBL Live Pro 2</t>
  </si>
  <si>
    <t>JLP2</t>
  </si>
  <si>
    <t>JBL Tour Pro 2</t>
  </si>
  <si>
    <t>JTP2</t>
  </si>
  <si>
    <t>JBL Live Pro+</t>
  </si>
  <si>
    <t>JLP</t>
  </si>
  <si>
    <t>JBL Tune 670NC</t>
  </si>
  <si>
    <t>JT670NC</t>
  </si>
  <si>
    <t>JBL Tune 520BT</t>
  </si>
  <si>
    <t>JT520BT</t>
  </si>
  <si>
    <t>JBL Club Pro+</t>
  </si>
  <si>
    <t>JCP</t>
  </si>
  <si>
    <t>JBL Live 670NC</t>
  </si>
  <si>
    <t>JL670NC</t>
  </si>
  <si>
    <t>JBL Tune 770NC</t>
  </si>
  <si>
    <t>JT770NC</t>
  </si>
  <si>
    <t>JBL Quantum One</t>
  </si>
  <si>
    <t>JBL Tune 510BT</t>
  </si>
  <si>
    <t>JT510BT</t>
  </si>
  <si>
    <t>JQO</t>
  </si>
  <si>
    <t>JBL Tune 500</t>
  </si>
  <si>
    <t>JT500</t>
  </si>
  <si>
    <t>JBL Quantum 400</t>
  </si>
  <si>
    <t>JQ400</t>
  </si>
  <si>
    <t>LG</t>
  </si>
  <si>
    <t>Laptop LG Gram 2023 14Z90RS-G.AH54A5</t>
  </si>
  <si>
    <t>Laptop LG Gram 2023 16Z90RS-G.AH54A5</t>
  </si>
  <si>
    <t>Laptop LG Gram 2023 17ZD90R-G.AX73A5</t>
  </si>
  <si>
    <t>Laptop LG Gram 2IN1 14T90R-G.AH55A5</t>
  </si>
  <si>
    <t>LGG2I114T</t>
  </si>
  <si>
    <t>Laptop LG Gram 2021 14Z90P-G.AH75A5 14 inch</t>
  </si>
  <si>
    <t>Laptop LG Gram 2023 15Z90RT-G.AH55A5</t>
  </si>
  <si>
    <t>Laptop LG Gram 2023 16Z90R-E.AH75A5</t>
  </si>
  <si>
    <t>Laptop LG Gram 2023 14ZD90R-G.AX52A5</t>
  </si>
  <si>
    <t>Laptop LG Gram 2023 17Z90R-G.AH78A5</t>
  </si>
  <si>
    <t>Laptop LG Gram 2023 14Z90R-G.AH53A5</t>
  </si>
  <si>
    <t>Laptop LG Gram 2023 14Z90R-G.AH75A5</t>
  </si>
  <si>
    <t>Laptop LG Gram 2023 16Z90R-G.AH76A5</t>
  </si>
  <si>
    <t>Laptop LG Gram 2023 14ZD90R-G.AX51A5</t>
  </si>
  <si>
    <t>LGG202317ZGAH78</t>
  </si>
  <si>
    <t>LGG202316ZGAH76</t>
  </si>
  <si>
    <t>LGG202314ZGAH75</t>
  </si>
  <si>
    <t>LGG202314ZGAH53</t>
  </si>
  <si>
    <t>LGG202317ZGAX73</t>
  </si>
  <si>
    <t>LGG202314ZGAX51</t>
  </si>
  <si>
    <t>LGG202314ZGAX52</t>
  </si>
  <si>
    <t>LGG202316ZEAH75</t>
  </si>
  <si>
    <t>LGG202316ZGAH54</t>
  </si>
  <si>
    <t>LGG202315ZGAH55</t>
  </si>
  <si>
    <t>LGG202314ZGAH54</t>
  </si>
  <si>
    <t>LGG202114ZGAH75</t>
  </si>
  <si>
    <t>Samsung</t>
  </si>
  <si>
    <t>Đồng</t>
  </si>
  <si>
    <t>2023-12-31</t>
  </si>
  <si>
    <t>Sale Expired</t>
  </si>
  <si>
    <t>SALEEXPIRED</t>
  </si>
  <si>
    <t>2023-11-01</t>
  </si>
  <si>
    <t>2023-12-01</t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</si>
  <si>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khuyến mãi</t>
    </r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</si>
  <si>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Mã khuyến mãi</t>
    </r>
  </si>
  <si>
    <r>
      <rPr>
        <b/>
        <sz val="14"/>
        <color theme="1"/>
        <rFont val="Calibri"/>
        <family val="2"/>
        <scheme val="minor"/>
      </rPr>
      <t>Price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tiền giảm</t>
    </r>
  </si>
  <si>
    <r>
      <rPr>
        <b/>
        <sz val="14"/>
        <color theme="1"/>
        <rFont val="Calibri"/>
        <family val="2"/>
        <scheme val="minor"/>
      </rPr>
      <t>Rank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Hạng thành viên được áp dụng</t>
    </r>
  </si>
  <si>
    <r>
      <rPr>
        <b/>
        <sz val="14"/>
        <color theme="1"/>
        <rFont val="Calibri"/>
        <family val="2"/>
        <scheme val="minor"/>
      </rPr>
      <t>Amount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Số lượng</t>
    </r>
  </si>
  <si>
    <r>
      <rPr>
        <b/>
        <sz val="14"/>
        <color theme="1"/>
        <rFont val="Calibri"/>
        <family val="2"/>
        <scheme val="minor"/>
      </rPr>
      <t>Date Start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Ngày bắt đầu</t>
    </r>
  </si>
  <si>
    <r>
      <rPr>
        <b/>
        <sz val="14"/>
        <color theme="1"/>
        <rFont val="Calibri"/>
        <family val="2"/>
        <scheme val="minor"/>
      </rPr>
      <t>Date End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Ngày kết thúc</t>
    </r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</si>
  <si>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hạng thành viên</t>
    </r>
  </si>
  <si>
    <r>
      <rPr>
        <b/>
        <sz val="14"/>
        <color theme="1"/>
        <rFont val="Calibri"/>
        <family val="2"/>
        <scheme val="minor"/>
      </rPr>
      <t>Discount %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Tỷ lệ giảm giá</t>
    </r>
  </si>
  <si>
    <r>
      <rPr>
        <b/>
        <sz val="14"/>
        <color theme="1"/>
        <rFont val="Calibri"/>
        <family val="2"/>
        <scheme val="minor"/>
      </rPr>
      <t>Value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Số tiền cần đạt ?</t>
    </r>
  </si>
  <si>
    <r>
      <rPr>
        <b/>
        <sz val="14"/>
        <color theme="1"/>
        <rFont val="Calibri"/>
        <family val="2"/>
        <scheme val="minor"/>
      </rPr>
      <t>Description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Mô tả</t>
    </r>
  </si>
  <si>
    <t>Cho người mới vào</t>
  </si>
  <si>
    <t>Always leading speaker trends worldwide, JBL Speakers is a famous speaker brand from the United States, making a strong impression worldwide with its unique design, distinctive sound, and combination of many advanced utilities.</t>
  </si>
  <si>
    <t>LG Electronics Inc. is a Korean multinational electronics company.</t>
  </si>
  <si>
    <t>ID</t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</si>
  <si>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hãng</t>
    </r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</si>
  <si>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loại hàng</t>
    </r>
  </si>
  <si>
    <t>Watch, portable timepiece that has a movement driven either by spring or by electricity and that is designed to be worn or carried in the pocket.</t>
  </si>
  <si>
    <t>A laptop, sometimes called a notebook computer by manufacturers, is a battery- or AC-powered personal computer (PC) smaller than a briefcase.</t>
  </si>
  <si>
    <t>An equipments to put on your ear to listen music.</t>
  </si>
  <si>
    <t>Headphone</t>
  </si>
  <si>
    <t>Mã màu</t>
  </si>
  <si>
    <t>Tên</t>
  </si>
  <si>
    <t>Mã
(Trong database)</t>
  </si>
  <si>
    <t xml:space="preserve">Tên </t>
  </si>
  <si>
    <t>/storage/images/Samsung Galaxy Buds 2 Pro.png</t>
  </si>
  <si>
    <t>/storage/images/Samsung Galaxy Buds 2.png</t>
  </si>
  <si>
    <t>/storage/images/Samsung Galaxy Buds FE.png</t>
  </si>
  <si>
    <t>/storage/images/Apple AirPods 3 MagSafe.png</t>
  </si>
  <si>
    <t>/storage/images/Apple AirPods 3.png</t>
  </si>
  <si>
    <t>/storage/images/Apple AirPods Pro 2 USB-C.png</t>
  </si>
  <si>
    <t>/storage/images/Apple AirPods 2.png</t>
  </si>
  <si>
    <t>/storage/images/Apple AirPods Pro Magsafe.png</t>
  </si>
  <si>
    <t>/storage/images/JBL Tune Flex.png</t>
  </si>
  <si>
    <t>/storage/images/JBL Tune 230 TWS.png</t>
  </si>
  <si>
    <t>/storage/images/JBL Tune Beam.png</t>
  </si>
  <si>
    <t>/storage/images/JBL Wave Beam.png</t>
  </si>
  <si>
    <t>/storage/images/JBL Tune 120 TWS.png</t>
  </si>
  <si>
    <t>/storage/images/JBL Tune 115 TWS.png</t>
  </si>
  <si>
    <t>R</t>
  </si>
  <si>
    <t>G</t>
  </si>
  <si>
    <t>B</t>
  </si>
  <si>
    <t>Mã hex</t>
  </si>
  <si>
    <t>#C4B8D5</t>
  </si>
  <si>
    <t>#EDEDED</t>
  </si>
  <si>
    <t>#C3B7D3</t>
  </si>
  <si>
    <t>#E4E5E9</t>
  </si>
  <si>
    <t>#E5E7EB</t>
  </si>
  <si>
    <t>#E6E7EB</t>
  </si>
  <si>
    <t>Apple AirPods Pro 2022</t>
  </si>
  <si>
    <t>#E7E8EC</t>
  </si>
  <si>
    <t>#334D68</t>
  </si>
  <si>
    <t>#DCDADB</t>
  </si>
  <si>
    <t>#9995BE</t>
  </si>
  <si>
    <t>#CCAF91</t>
  </si>
  <si>
    <t>#242222</t>
  </si>
  <si>
    <t>#3D3D3F</t>
  </si>
  <si>
    <t>#6C7AA1</t>
  </si>
  <si>
    <t>#2E2E2E</t>
  </si>
  <si>
    <t>#DCBABB</t>
  </si>
  <si>
    <t>#242424</t>
  </si>
  <si>
    <t>#49546D</t>
  </si>
  <si>
    <t>#9A92BB</t>
  </si>
  <si>
    <t>#202020</t>
  </si>
  <si>
    <t>#E8E8E8</t>
  </si>
  <si>
    <t>#CBBEC5</t>
  </si>
  <si>
    <t>#333333</t>
  </si>
  <si>
    <t>#696969</t>
  </si>
  <si>
    <t>#4D4E50</t>
  </si>
  <si>
    <t>#96928D</t>
  </si>
  <si>
    <t>#484D52</t>
  </si>
  <si>
    <t>#FEE4E3</t>
  </si>
  <si>
    <t>#FEF9E3</t>
  </si>
  <si>
    <t>#413B47</t>
  </si>
  <si>
    <t>#9DAEC0</t>
  </si>
  <si>
    <t>#9DB0C1</t>
  </si>
  <si>
    <t>#EEDEC6</t>
  </si>
  <si>
    <t>#93A3BC</t>
  </si>
  <si>
    <t>#F9DED7</t>
  </si>
  <si>
    <t>#FBEBD2</t>
  </si>
  <si>
    <t>#464040</t>
  </si>
  <si>
    <t>#C8DBC7</t>
  </si>
  <si>
    <t>#B6082D</t>
  </si>
  <si>
    <t>Samsung Galaxy Z Flip 5</t>
  </si>
  <si>
    <t>#E0ECE8</t>
  </si>
  <si>
    <t>#99A0B3</t>
  </si>
  <si>
    <t>#DCD1DB</t>
  </si>
  <si>
    <t>#4E544E</t>
  </si>
  <si>
    <t>#F4EBE2</t>
  </si>
  <si>
    <t>#454B41</t>
  </si>
  <si>
    <t>#615271</t>
  </si>
  <si>
    <t>#1C1C1C</t>
  </si>
  <si>
    <t>#E6D5CD</t>
  </si>
  <si>
    <t>#F6F6F6</t>
  </si>
  <si>
    <t>#181818</t>
  </si>
  <si>
    <t>#BACAD8</t>
  </si>
  <si>
    <t>#8483A3</t>
  </si>
  <si>
    <t>#A4A68A</t>
  </si>
  <si>
    <t>#262528</t>
  </si>
  <si>
    <t>#D0D0D0</t>
  </si>
  <si>
    <t>#C6C6C6</t>
  </si>
  <si>
    <t>#B9B9B9</t>
  </si>
  <si>
    <t>#ADAFB3</t>
  </si>
  <si>
    <t>#E7E7E7</t>
  </si>
  <si>
    <t>#7B8187</t>
  </si>
  <si>
    <t>#B0B2B3</t>
  </si>
  <si>
    <t>#7C7C7E</t>
  </si>
  <si>
    <t>#E4E6E7</t>
  </si>
  <si>
    <t>#AC8168</t>
  </si>
  <si>
    <t>#484848</t>
  </si>
  <si>
    <t>#57575B</t>
  </si>
  <si>
    <t>#525156</t>
  </si>
  <si>
    <t>#454545</t>
  </si>
  <si>
    <t>#C6C4D0</t>
  </si>
  <si>
    <t>#3D3C41</t>
  </si>
  <si>
    <t>#4A4A4A</t>
  </si>
  <si>
    <t>#C2C0CD</t>
  </si>
  <si>
    <t>#6A6A6A</t>
  </si>
  <si>
    <t>#ECECEC</t>
  </si>
  <si>
    <t>#444444</t>
  </si>
  <si>
    <t>#404040</t>
  </si>
  <si>
    <t>#3B3B3B</t>
  </si>
  <si>
    <t>#CCD0D3</t>
  </si>
  <si>
    <t>#BBBFC2</t>
  </si>
  <si>
    <t>#434551</t>
  </si>
  <si>
    <t>#262626</t>
  </si>
  <si>
    <t>#7A8797</t>
  </si>
  <si>
    <t>#5F6064</t>
  </si>
  <si>
    <t>#D3C9C0</t>
  </si>
  <si>
    <t>#373840</t>
  </si>
  <si>
    <t>#E9E8E6</t>
  </si>
  <si>
    <t>#D63048</t>
  </si>
  <si>
    <t>#36373E</t>
  </si>
  <si>
    <t>#D9CFC6</t>
  </si>
  <si>
    <t>#E8E7E5</t>
  </si>
  <si>
    <t>#37383D</t>
  </si>
  <si>
    <t>#323338</t>
  </si>
  <si>
    <t>#E2E1DF</t>
  </si>
  <si>
    <t>#E5E4E2</t>
  </si>
  <si>
    <t>#323337</t>
  </si>
  <si>
    <t>#223343</t>
  </si>
  <si>
    <t>#D4AF2F</t>
  </si>
  <si>
    <t>/storage/images/Apple AirPods Pro 2022.png</t>
  </si>
  <si>
    <t>/storage/images/JBL Live Pro 2.png</t>
  </si>
  <si>
    <t>/storage/images/JBL Tour Pro 2.png</t>
  </si>
  <si>
    <t>/storage/images/JBL Live Pro+.png</t>
  </si>
  <si>
    <t>/storage/images/JBL Club Pro+.png</t>
  </si>
  <si>
    <t>/storage/images/JBL Tune 770NC.png</t>
  </si>
  <si>
    <t>/storage/images/JBL Tune 670NC.png</t>
  </si>
  <si>
    <t>/storage/images/JBL Live 670NC.png</t>
  </si>
  <si>
    <t>/storage/images/JBL Tune 520BT.png</t>
  </si>
  <si>
    <t>/storage/images/JBL Tune 510BT.png</t>
  </si>
  <si>
    <t>/storage/images/JBL Tune 500.png</t>
  </si>
  <si>
    <t>/storage/images/JBL Quantum One.png</t>
  </si>
  <si>
    <t>/storage/images/JBL Quantum 400.png</t>
  </si>
  <si>
    <t>/storage/images/iPhone 15 Pro Max.png</t>
  </si>
  <si>
    <t>/storage/images/iPhone 15 Pro.png</t>
  </si>
  <si>
    <t>/storage/images/iPhone 15 Plus.png</t>
  </si>
  <si>
    <t>/storage/images/iPhone 15.png</t>
  </si>
  <si>
    <t>/storage/images/iPhone 14 Pro Max.png</t>
  </si>
  <si>
    <t>/storage/images/iPhone 14 Pro.png</t>
  </si>
  <si>
    <t>/storage/images/iPhone 14 Plus.png</t>
  </si>
  <si>
    <t>/storage/images/iPhone 14.png</t>
  </si>
  <si>
    <t>/storage/images/iPhone 13 Pro Max.png</t>
  </si>
  <si>
    <t>/storage/images/iPhone 13 Pro.png</t>
  </si>
  <si>
    <t>/storage/images/iPhone 13.png</t>
  </si>
  <si>
    <t>/storage/images/iPhone 12 Pro Max.png</t>
  </si>
  <si>
    <t>/storage/images/iPhone 12 Pro.png</t>
  </si>
  <si>
    <t>/storage/images/iPhone 12.png</t>
  </si>
  <si>
    <t>/storage/images/iPhone 11.png</t>
  </si>
  <si>
    <t>/storage/images/Samsung Galaxy Z Flip 5.png</t>
  </si>
  <si>
    <t>/storage/images/Samsung Galaxy S23 Ultra 5G.png</t>
  </si>
  <si>
    <t>/storage/images/Samsung Galaxy S23 Ultra.png</t>
  </si>
  <si>
    <t>/storage/images/Samsung Galaxy S23 Plus.png</t>
  </si>
  <si>
    <t>/storage/images/Samsung Galaxy S23.png</t>
  </si>
  <si>
    <t>/storage/images/Samsung Galaxy S23 FE 5G.png</t>
  </si>
  <si>
    <t>/storage/images/Samsung Galaxy S22 Ultra.png</t>
  </si>
  <si>
    <t>/storage/images/Samsung Galaxy S22 Plus.png</t>
  </si>
  <si>
    <t>/storage/images/Samsung Galaxy S22.png</t>
  </si>
  <si>
    <t>/storage/images/Samsung Galaxy S21 Ultra 5G.png</t>
  </si>
  <si>
    <t>/storage/images/Samsung Galaxy S21 Plus 5G.png</t>
  </si>
  <si>
    <t>/storage/images/Samsung Galaxy S21 5G.png</t>
  </si>
  <si>
    <t>/storage/images/Samsung Galaxy S21 FE 5G.png</t>
  </si>
  <si>
    <t>/storage/images/Apple Macbook Pro 16 inch M3 Max.png</t>
  </si>
  <si>
    <t>/storage/images/Apple Macbook Pro 16 inch M3.png</t>
  </si>
  <si>
    <t>/storage/images/Apple Macbook Pro 14 inch M3 Max.png</t>
  </si>
  <si>
    <t>/storage/images/Apple Macbook Pro 14 inch M3.png</t>
  </si>
  <si>
    <t>/storage/images/Apple MacBook Pro 16 inch M2.png</t>
  </si>
  <si>
    <t>/storage/images/Apple Macbook Pro 13 inch M2.png</t>
  </si>
  <si>
    <t>/storage/images/Apple MacBook Air M2.png</t>
  </si>
  <si>
    <t>/storage/images/Apple Macbook Pro 16 inch M1 Max.png</t>
  </si>
  <si>
    <t>/storage/images/Apple Macbook Pro 14 inch M1.png</t>
  </si>
  <si>
    <t>/storage/images/Apple MacBook Air M1.png</t>
  </si>
  <si>
    <t>/storage/images/Laptop LG Gram 2023 17Z90R-G.AH78A5.png</t>
  </si>
  <si>
    <t>/storage/images/Laptop LG Gram 2023 17ZD90R-G.AX73A5.png</t>
  </si>
  <si>
    <t>/storage/images/Laptop LG Gram 2023 16Z90R-G.AH76A5.png</t>
  </si>
  <si>
    <t>/storage/images/Laptop LG Gram 2023 16Z90R-E.AH75A5.png</t>
  </si>
  <si>
    <t>/storage/images/Laptop LG Gram 2023 16Z90RS-G.AH54A5.png</t>
  </si>
  <si>
    <t>/storage/images/Laptop LG Gram 2023 15Z90RT-G.AH55A5.png</t>
  </si>
  <si>
    <t>/storage/images/Laptop LG Gram 2023 14Z90R-G.AH75A5.png</t>
  </si>
  <si>
    <t>/storage/images/Laptop LG Gram 2023 14Z90RS-G.AH54A5.png</t>
  </si>
  <si>
    <t>/storage/images/Laptop LG Gram 2023 14Z90R-G.AH53A5.png</t>
  </si>
  <si>
    <t>/storage/images/Laptop LG Gram 2023 14ZD90R-G.AX51A5.png</t>
  </si>
  <si>
    <t>/storage/images/Laptop LG Gram 2023 14ZD90R-G.AX52A5.png</t>
  </si>
  <si>
    <t>/storage/images/Laptop LG Gram 2021 14Z90P-G.AH75A5 14 inch.png</t>
  </si>
  <si>
    <t>/storage/images/Laptop LG Gram 2IN1 14T90R-G.AH55A5.png</t>
  </si>
  <si>
    <t>/storage/images/Samsung Galaxy Watch 6 Classic 47mm Bluetooth.png</t>
  </si>
  <si>
    <t>/storage/images/Samsung Galaxy Watch 6 44mm.png</t>
  </si>
  <si>
    <t>/storage/images/Samsung Galaxy Watch 6 Classic 43mm Bluetooth.png</t>
  </si>
  <si>
    <t>/storage/images/Samsung Galaxy Watch 6 40mm.png</t>
  </si>
  <si>
    <t>/storage/images/Samsung Galaxy Watch 5 Pro.png</t>
  </si>
  <si>
    <t>/storage/images/Samsung Galaxy Watch 5 44mm.png</t>
  </si>
  <si>
    <t>/storage/images/Samsung Galaxy Watch 5 44mm LTE.png</t>
  </si>
  <si>
    <t>/storage/images/Apple Watch Series 9 45mm.png</t>
  </si>
  <si>
    <t>/storage/images/Apple Watch Series 9 41mm.png</t>
  </si>
  <si>
    <t>/storage/images/Apple Watch Series 8 45mm.png</t>
  </si>
  <si>
    <t>/storage/images/Apple Watch Series 8 41mm.png</t>
  </si>
  <si>
    <t>/storage/images/Apple Watch Series 7 45mm.png</t>
  </si>
  <si>
    <t>/storage/images/Apple Watch Series 7 41mm.png</t>
  </si>
  <si>
    <t>/storage/images/Apple Watch SE 2 44mm.png</t>
  </si>
  <si>
    <t>/storage/images/Apple Watch SE 2 40mm.png</t>
  </si>
  <si>
    <t>/storage/images/Apple Watch SE 44mm LTE.png</t>
  </si>
  <si>
    <t>/storage/images/Apple Watch SE 44mm.png</t>
  </si>
  <si>
    <t>/storage/images/Apple Watch SE 40mm LTE.png</t>
  </si>
  <si>
    <t>/storage/images/Apple Watch SE 40mm.png</t>
  </si>
  <si>
    <t>/storage/images/Apple Watch Ultra 2 49mm.png</t>
  </si>
  <si>
    <t>/storage/images/Apple Watch Ultra 49mm.png</t>
  </si>
  <si>
    <t>Đã thêm</t>
  </si>
  <si>
    <t>x</t>
  </si>
  <si>
    <t>/storage/images/Apple MacBook Pro 13 inch Touch Bar M1.png</t>
  </si>
  <si>
    <t>/storage/images/Samsung Galaxy Z Fold 5.png</t>
  </si>
  <si>
    <r>
      <t xml:space="preserve">Link hình
</t>
    </r>
    <r>
      <rPr>
        <sz val="14"/>
        <color theme="1"/>
        <rFont val="Calibri"/>
        <family val="2"/>
        <scheme val="minor"/>
      </rPr>
      <t>(Trong database)</t>
    </r>
  </si>
  <si>
    <t>Apple MacBook Pro 13 inch Touch Bar M1</t>
  </si>
  <si>
    <t>2050-12-31</t>
  </si>
  <si>
    <t>SALEOVERPRICE</t>
  </si>
  <si>
    <t>Sale 10000000</t>
  </si>
  <si>
    <t>Out Of Sale</t>
  </si>
  <si>
    <t>OUTOFSALE</t>
  </si>
  <si>
    <t>SALE10</t>
  </si>
  <si>
    <t>Samsung Galaxy Z Fold 5</t>
  </si>
  <si>
    <t>Ngân hàng</t>
  </si>
  <si>
    <t>Số thẻ</t>
  </si>
  <si>
    <t>Tên chủ thẻ</t>
  </si>
  <si>
    <t>Ngày phát hành</t>
  </si>
  <si>
    <t>OTP</t>
  </si>
  <si>
    <t>Ghi chú</t>
  </si>
  <si>
    <t>Thành công</t>
  </si>
  <si>
    <t>NCB</t>
  </si>
  <si>
    <t>9704198526191432198</t>
  </si>
  <si>
    <t>NGUYEN VAN A</t>
  </si>
  <si>
    <t>Thẻ không đủ số dư</t>
  </si>
  <si>
    <t>Thẻ chưa kích hoạt</t>
  </si>
  <si>
    <t>Thẻ bị khóa</t>
  </si>
  <si>
    <t>Thẻ bị hết hạn</t>
  </si>
  <si>
    <t>Thông báo trên hệ thống</t>
  </si>
  <si>
    <t>Your account does not have enough balance for the transaction</t>
  </si>
  <si>
    <t>Your card hasn’t been active</t>
  </si>
  <si>
    <t>Card expires</t>
  </si>
  <si>
    <t>Card locked</t>
  </si>
  <si>
    <t>9704195798459170488</t>
  </si>
  <si>
    <t>9704192181368742</t>
  </si>
  <si>
    <t>9704193370791314</t>
  </si>
  <si>
    <t>9704194841945513</t>
  </si>
  <si>
    <t>07/15</t>
  </si>
  <si>
    <t>Sale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</si>
</sst>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0A263C"/>
      <name val="Calibri"/>
      <family val="2"/>
      <scheme val="minor"/>
    </font>
    <font>
      <sz val="18"/>
      <color theme="1"/>
      <name val="Comic Sans MS"/>
      <family val="4"/>
    </font>
    <font>
      <sz val="8"/>
      <name val="Calibri"/>
      <family val="2"/>
      <scheme val="minor"/>
    </font>
    <font>
      <sz val="12"/>
      <name val="Courier New"/>
      <family val="3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B757-B187-423F-AA7E-619FDC4D0852}">
  <dimension ref="A1:C5"/>
  <sheetViews>
    <sheetView workbookViewId="0">
      <pane ySplit="1" topLeftCell="A2" activePane="bottomLeft" state="frozen"/>
      <selection pane="bottomLeft" sqref="A1:C1"/>
    </sheetView>
  </sheetViews>
  <sheetFormatPr defaultRowHeight="15.6" x14ac:dyDescent="0.3"/>
  <cols>
    <col min="1" max="1" width="8.796875" style="13"/>
    <col min="2" max="2" width="11" style="13" bestFit="1" customWidth="1"/>
    <col min="3" max="3" width="91" style="14" customWidth="1"/>
  </cols>
  <sheetData>
    <row r="1" spans="1:3" ht="32.4" x14ac:dyDescent="0.3">
      <c r="A1" s="3" t="s">
        <v>240</v>
      </c>
      <c r="B1" s="12" t="s">
        <v>241</v>
      </c>
      <c r="C1" s="12" t="s">
        <v>236</v>
      </c>
    </row>
    <row r="2" spans="1:3" ht="31.2" x14ac:dyDescent="0.3">
      <c r="A2" s="5">
        <v>1</v>
      </c>
      <c r="B2" s="13" t="s">
        <v>6</v>
      </c>
      <c r="C2" s="14" t="s">
        <v>7</v>
      </c>
    </row>
    <row r="3" spans="1:3" x14ac:dyDescent="0.3">
      <c r="A3" s="5">
        <v>2</v>
      </c>
      <c r="B3" s="13" t="s">
        <v>219</v>
      </c>
      <c r="C3" s="14" t="s">
        <v>9</v>
      </c>
    </row>
    <row r="4" spans="1:3" ht="46.8" x14ac:dyDescent="0.3">
      <c r="A4" s="5">
        <v>3</v>
      </c>
      <c r="B4" s="13" t="s">
        <v>155</v>
      </c>
      <c r="C4" s="14" t="s">
        <v>238</v>
      </c>
    </row>
    <row r="5" spans="1:3" x14ac:dyDescent="0.3">
      <c r="A5" s="5">
        <v>4</v>
      </c>
      <c r="B5" s="13" t="s">
        <v>192</v>
      </c>
      <c r="C5" s="14" t="s">
        <v>239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D467-661E-4608-993D-F901C385A6AD}">
  <dimension ref="A1:C5"/>
  <sheetViews>
    <sheetView workbookViewId="0">
      <selection activeCell="C17" sqref="C17"/>
    </sheetView>
  </sheetViews>
  <sheetFormatPr defaultRowHeight="15.6" x14ac:dyDescent="0.3"/>
  <cols>
    <col min="2" max="2" width="11.19921875" bestFit="1" customWidth="1"/>
    <col min="3" max="3" width="69.796875" style="11" customWidth="1"/>
  </cols>
  <sheetData>
    <row r="1" spans="1:3" ht="32.4" x14ac:dyDescent="0.3">
      <c r="A1" s="3" t="s">
        <v>240</v>
      </c>
      <c r="B1" s="12" t="s">
        <v>242</v>
      </c>
      <c r="C1" s="12" t="s">
        <v>236</v>
      </c>
    </row>
    <row r="2" spans="1:3" ht="31.2" x14ac:dyDescent="0.3">
      <c r="A2" s="5">
        <v>1</v>
      </c>
      <c r="B2" s="5" t="s">
        <v>2</v>
      </c>
      <c r="C2" s="15" t="s">
        <v>243</v>
      </c>
    </row>
    <row r="3" spans="1:3" ht="46.8" x14ac:dyDescent="0.3">
      <c r="A3" s="5">
        <v>2</v>
      </c>
      <c r="B3" s="5" t="s">
        <v>3</v>
      </c>
      <c r="C3" s="15" t="s">
        <v>4</v>
      </c>
    </row>
    <row r="4" spans="1:3" ht="31.2" x14ac:dyDescent="0.3">
      <c r="A4" s="5">
        <v>3</v>
      </c>
      <c r="B4" s="5" t="s">
        <v>5</v>
      </c>
      <c r="C4" s="15" t="s">
        <v>244</v>
      </c>
    </row>
    <row r="5" spans="1:3" x14ac:dyDescent="0.3">
      <c r="A5" s="5">
        <v>4</v>
      </c>
      <c r="B5" s="5" t="s">
        <v>246</v>
      </c>
      <c r="C5" s="15" t="s">
        <v>245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8725-8946-4721-AB69-4A430C38D5BE}">
  <dimension ref="A1:W112"/>
  <sheetViews>
    <sheetView zoomScale="70" zoomScaleNormal="70" workbookViewId="0">
      <pane ySplit="2" topLeftCell="A36" activePane="bottomLeft" state="frozen"/>
      <selection pane="bottomLeft" activeCell="B52" sqref="B52"/>
    </sheetView>
  </sheetViews>
  <sheetFormatPr defaultRowHeight="15.6" x14ac:dyDescent="0.3"/>
  <cols>
    <col min="1" max="1" width="17.3984375" style="1" bestFit="1" customWidth="1"/>
    <col min="2" max="2" width="43.19921875" customWidth="1"/>
    <col min="3" max="3" width="9" style="1" customWidth="1"/>
    <col min="4" max="4" width="10.59765625" style="1" bestFit="1" customWidth="1"/>
    <col min="5" max="5" width="15.19921875" style="1" customWidth="1"/>
    <col min="6" max="6" width="8.3984375" style="1" bestFit="1" customWidth="1"/>
    <col min="7" max="7" width="15.19921875" style="1" customWidth="1"/>
    <col min="8" max="8" width="5" style="1" bestFit="1" customWidth="1"/>
    <col min="9" max="9" width="10.8984375" style="1" customWidth="1"/>
    <col min="10" max="10" width="5.69921875" style="1" customWidth="1"/>
    <col min="11" max="11" width="15.09765625" style="1" customWidth="1"/>
    <col min="12" max="12" width="11.3984375" style="1" bestFit="1" customWidth="1"/>
    <col min="13" max="13" width="61.59765625" style="1" bestFit="1" customWidth="1"/>
    <col min="14" max="16" width="4" style="1" bestFit="1" customWidth="1"/>
    <col min="17" max="17" width="9.09765625" style="1" bestFit="1" customWidth="1"/>
    <col min="18" max="18" width="9.19921875" style="1" bestFit="1" customWidth="1"/>
    <col min="19" max="19" width="16.5" bestFit="1" customWidth="1"/>
    <col min="20" max="20" width="6.296875" bestFit="1" customWidth="1"/>
  </cols>
  <sheetData>
    <row r="1" spans="1:20" s="1" customFormat="1" ht="43.2" customHeight="1" x14ac:dyDescent="0.3">
      <c r="A1" s="24" t="s">
        <v>0</v>
      </c>
      <c r="B1" s="25" t="s">
        <v>10</v>
      </c>
      <c r="C1" s="25" t="s">
        <v>16</v>
      </c>
      <c r="D1" s="25" t="s">
        <v>11</v>
      </c>
      <c r="E1" s="25"/>
      <c r="F1" s="25" t="s">
        <v>12</v>
      </c>
      <c r="G1" s="25"/>
      <c r="H1" s="25" t="s">
        <v>13</v>
      </c>
      <c r="I1" s="25"/>
      <c r="J1" s="25" t="s">
        <v>14</v>
      </c>
      <c r="K1" s="25"/>
      <c r="L1" s="26" t="s">
        <v>15</v>
      </c>
      <c r="M1" s="26" t="s">
        <v>457</v>
      </c>
      <c r="N1" s="26" t="s">
        <v>247</v>
      </c>
      <c r="O1" s="26"/>
      <c r="P1" s="26"/>
      <c r="Q1" s="26"/>
      <c r="R1" s="24" t="s">
        <v>453</v>
      </c>
      <c r="S1" s="27" t="s">
        <v>67</v>
      </c>
      <c r="T1" s="28">
        <f>COUNTA(A4:A32,A34:A63,A65:A89,A91:A112)</f>
        <v>101</v>
      </c>
    </row>
    <row r="2" spans="1:20" s="1" customFormat="1" ht="55.2" customHeight="1" x14ac:dyDescent="0.3">
      <c r="A2" s="24"/>
      <c r="B2" s="25"/>
      <c r="C2" s="25"/>
      <c r="D2" s="12" t="s">
        <v>248</v>
      </c>
      <c r="E2" s="12" t="s">
        <v>249</v>
      </c>
      <c r="F2" s="12" t="s">
        <v>250</v>
      </c>
      <c r="G2" s="12" t="s">
        <v>249</v>
      </c>
      <c r="H2" s="25"/>
      <c r="I2" s="25"/>
      <c r="J2" s="25"/>
      <c r="K2" s="25"/>
      <c r="L2" s="26"/>
      <c r="M2" s="26"/>
      <c r="N2" s="17" t="s">
        <v>265</v>
      </c>
      <c r="O2" s="17" t="s">
        <v>266</v>
      </c>
      <c r="P2" s="17" t="s">
        <v>267</v>
      </c>
      <c r="Q2" s="17" t="s">
        <v>268</v>
      </c>
      <c r="R2" s="24"/>
      <c r="S2" s="27"/>
      <c r="T2" s="28"/>
    </row>
    <row r="3" spans="1:20" s="1" customFormat="1" ht="27.6" x14ac:dyDescent="0.3">
      <c r="A3" s="23" t="s">
        <v>154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/>
      <c r="T3" s="4"/>
    </row>
    <row r="4" spans="1:20" x14ac:dyDescent="0.3">
      <c r="A4" s="1" t="s">
        <v>143</v>
      </c>
      <c r="B4" t="s">
        <v>141</v>
      </c>
      <c r="C4" s="1">
        <v>1</v>
      </c>
      <c r="D4" s="1" t="s">
        <v>246</v>
      </c>
      <c r="E4" s="16">
        <f>IF(D4 = "","", INDEX(Categories!$A$2:$A$5, MATCH(D4,Categories!$B$2:$B$5, 0)))</f>
        <v>4</v>
      </c>
      <c r="F4" s="1" t="s">
        <v>219</v>
      </c>
      <c r="G4" s="6">
        <f>IF(F4 = "","",INDEX(Brands!$A$2:$A$5, MATCH(F4,Brands!$B$2:$B$5)))</f>
        <v>2</v>
      </c>
      <c r="H4" s="1">
        <v>124</v>
      </c>
      <c r="J4" s="1">
        <v>207</v>
      </c>
      <c r="L4" s="1">
        <v>944</v>
      </c>
      <c r="M4" t="s">
        <v>251</v>
      </c>
      <c r="N4" s="1">
        <v>195</v>
      </c>
      <c r="O4" s="1">
        <v>183</v>
      </c>
      <c r="P4" s="1">
        <v>211</v>
      </c>
      <c r="Q4" s="1" t="s">
        <v>271</v>
      </c>
      <c r="R4" s="1" t="s">
        <v>454</v>
      </c>
    </row>
    <row r="5" spans="1:20" x14ac:dyDescent="0.3">
      <c r="A5" s="1" t="s">
        <v>1</v>
      </c>
      <c r="B5" t="s">
        <v>140</v>
      </c>
      <c r="C5" s="1">
        <v>1</v>
      </c>
      <c r="D5" s="1" t="s">
        <v>246</v>
      </c>
      <c r="E5" s="16">
        <f>IF(D5 = "","", INDEX(Categories!$A$2:$A$5, MATCH(D5,Categories!$B$2:$B$5, 0)))</f>
        <v>4</v>
      </c>
      <c r="F5" s="1" t="s">
        <v>219</v>
      </c>
      <c r="G5" s="6">
        <f>IF(F5 = "","",INDEX(Brands!$A$2:$A$5, MATCH(F5,Brands!$B$2:$B$5)))</f>
        <v>2</v>
      </c>
      <c r="H5" s="1">
        <v>100</v>
      </c>
      <c r="J5" s="1">
        <v>124</v>
      </c>
      <c r="L5" s="5">
        <v>824</v>
      </c>
      <c r="M5" t="s">
        <v>252</v>
      </c>
      <c r="N5" s="5">
        <v>237</v>
      </c>
      <c r="O5" s="5">
        <v>237</v>
      </c>
      <c r="P5" s="5">
        <v>237</v>
      </c>
      <c r="Q5" s="5" t="s">
        <v>270</v>
      </c>
      <c r="R5" s="1" t="s">
        <v>454</v>
      </c>
    </row>
    <row r="6" spans="1:20" x14ac:dyDescent="0.3">
      <c r="A6" s="1" t="s">
        <v>144</v>
      </c>
      <c r="B6" t="s">
        <v>142</v>
      </c>
      <c r="C6" s="1">
        <v>1</v>
      </c>
      <c r="D6" s="1" t="s">
        <v>246</v>
      </c>
      <c r="E6" s="16">
        <f>IF(D6 = "","", INDEX(Categories!$A$2:$A$5, MATCH(D6,Categories!$B$2:$B$5, 0)))</f>
        <v>4</v>
      </c>
      <c r="F6" s="1" t="s">
        <v>219</v>
      </c>
      <c r="G6" s="6">
        <f>IF(F6 = "","",INDEX(Brands!$A$2:$A$5, MATCH(F6,Brands!$B$2:$B$5)))</f>
        <v>2</v>
      </c>
      <c r="H6" s="1">
        <v>100</v>
      </c>
      <c r="J6" s="1">
        <v>110</v>
      </c>
      <c r="L6" s="1">
        <v>205</v>
      </c>
      <c r="M6" t="s">
        <v>253</v>
      </c>
      <c r="N6" s="1">
        <v>196</v>
      </c>
      <c r="O6" s="1">
        <v>184</v>
      </c>
      <c r="P6" s="1">
        <v>213</v>
      </c>
      <c r="Q6" s="1" t="s">
        <v>269</v>
      </c>
      <c r="R6" s="1" t="s">
        <v>454</v>
      </c>
    </row>
    <row r="7" spans="1:20" x14ac:dyDescent="0.3">
      <c r="E7" s="16" t="str">
        <f>IF(D7 = "","", INDEX(Categories!$A$2:$A$5, MATCH(D7,Categories!$B$2:$B$5, 0)))</f>
        <v/>
      </c>
      <c r="G7" s="6" t="str">
        <f>IF(F7 = "","",INDEX(Brands!$A$2:$A$5, MATCH(F7,Brands!$B$2:$B$5)))</f>
        <v/>
      </c>
      <c r="M7"/>
    </row>
    <row r="8" spans="1:20" x14ac:dyDescent="0.3">
      <c r="A8" s="1" t="s">
        <v>150</v>
      </c>
      <c r="B8" t="s">
        <v>139</v>
      </c>
      <c r="C8" s="1">
        <v>1</v>
      </c>
      <c r="D8" s="1" t="s">
        <v>246</v>
      </c>
      <c r="E8" s="16">
        <f>IF(D8 = "","", INDEX(Categories!$A$2:$A$5, MATCH(D8,Categories!$B$2:$B$5, 0)))</f>
        <v>4</v>
      </c>
      <c r="F8" s="1" t="s">
        <v>6</v>
      </c>
      <c r="G8" s="6">
        <f>IF(F8 = "","",INDEX(Brands!$A$2:$A$5, MATCH(F8,Brands!$B$2:$B$5)))</f>
        <v>1</v>
      </c>
      <c r="H8" s="1">
        <v>165</v>
      </c>
      <c r="J8" s="1">
        <v>198</v>
      </c>
      <c r="L8" s="1">
        <v>161</v>
      </c>
      <c r="M8" t="s">
        <v>254</v>
      </c>
      <c r="N8" s="1">
        <v>228</v>
      </c>
      <c r="O8" s="1">
        <v>229</v>
      </c>
      <c r="P8" s="1">
        <v>233</v>
      </c>
      <c r="Q8" s="1" t="s">
        <v>272</v>
      </c>
      <c r="R8" s="1" t="s">
        <v>454</v>
      </c>
    </row>
    <row r="9" spans="1:20" x14ac:dyDescent="0.3">
      <c r="A9" s="1" t="s">
        <v>151</v>
      </c>
      <c r="B9" t="s">
        <v>138</v>
      </c>
      <c r="C9" s="1">
        <v>1</v>
      </c>
      <c r="D9" s="1" t="s">
        <v>246</v>
      </c>
      <c r="E9" s="16">
        <f>IF(D9 = "","", INDEX(Categories!$A$2:$A$5, MATCH(D9,Categories!$B$2:$B$5, 0)))</f>
        <v>4</v>
      </c>
      <c r="F9" s="1" t="s">
        <v>6</v>
      </c>
      <c r="G9" s="6">
        <f>IF(F9 = "","",INDEX(Brands!$A$2:$A$5, MATCH(F9,Brands!$B$2:$B$5)))</f>
        <v>1</v>
      </c>
      <c r="H9" s="1">
        <v>165</v>
      </c>
      <c r="J9" s="1">
        <v>186</v>
      </c>
      <c r="L9" s="1">
        <v>645</v>
      </c>
      <c r="M9" t="s">
        <v>255</v>
      </c>
      <c r="N9" s="1">
        <v>228</v>
      </c>
      <c r="O9" s="1">
        <v>229</v>
      </c>
      <c r="P9" s="1">
        <v>233</v>
      </c>
      <c r="Q9" s="1" t="s">
        <v>272</v>
      </c>
      <c r="R9" s="1" t="s">
        <v>454</v>
      </c>
    </row>
    <row r="10" spans="1:20" s="8" customFormat="1" x14ac:dyDescent="0.3">
      <c r="A10" s="6" t="s">
        <v>148</v>
      </c>
      <c r="B10" s="8" t="s">
        <v>146</v>
      </c>
      <c r="C10" s="6">
        <v>1</v>
      </c>
      <c r="D10" s="6" t="s">
        <v>246</v>
      </c>
      <c r="E10" s="16">
        <f>IF(D10 = "","", INDEX(Categories!$A$2:$A$5, MATCH(D10,Categories!$B$2:$B$5, 0)))</f>
        <v>4</v>
      </c>
      <c r="F10" s="6" t="s">
        <v>6</v>
      </c>
      <c r="G10" s="6">
        <f>IF(F10 = "","",INDEX(Brands!$A$2:$A$5, MATCH(F10,Brands!$B$2:$B$5)))</f>
        <v>1</v>
      </c>
      <c r="H10" s="6">
        <v>227</v>
      </c>
      <c r="I10" s="6"/>
      <c r="J10" s="6">
        <v>256</v>
      </c>
      <c r="K10" s="6"/>
      <c r="L10" s="6">
        <v>54</v>
      </c>
      <c r="M10" s="8" t="s">
        <v>256</v>
      </c>
      <c r="N10" s="6">
        <v>229</v>
      </c>
      <c r="O10" s="6">
        <v>231</v>
      </c>
      <c r="P10" s="6">
        <v>235</v>
      </c>
      <c r="Q10" s="6" t="s">
        <v>273</v>
      </c>
      <c r="R10" s="1" t="s">
        <v>454</v>
      </c>
    </row>
    <row r="11" spans="1:20" x14ac:dyDescent="0.3">
      <c r="A11" s="1" t="s">
        <v>152</v>
      </c>
      <c r="B11" t="s">
        <v>145</v>
      </c>
      <c r="C11" s="1">
        <v>1</v>
      </c>
      <c r="D11" s="1" t="s">
        <v>246</v>
      </c>
      <c r="E11" s="16">
        <f>IF(D11 = "","", INDEX(Categories!$A$2:$A$5, MATCH(D11,Categories!$B$2:$B$5, 0)))</f>
        <v>4</v>
      </c>
      <c r="F11" s="1" t="s">
        <v>6</v>
      </c>
      <c r="G11" s="6">
        <f>IF(F11 = "","",INDEX(Brands!$A$2:$A$5, MATCH(F11,Brands!$B$2:$B$5)))</f>
        <v>1</v>
      </c>
      <c r="H11" s="1">
        <v>103</v>
      </c>
      <c r="J11" s="1">
        <v>165</v>
      </c>
      <c r="L11" s="1">
        <v>849</v>
      </c>
      <c r="M11" t="s">
        <v>257</v>
      </c>
      <c r="N11" s="1">
        <v>228</v>
      </c>
      <c r="O11" s="1">
        <v>229</v>
      </c>
      <c r="P11" s="1">
        <v>233</v>
      </c>
      <c r="Q11" s="1" t="s">
        <v>272</v>
      </c>
      <c r="R11" s="1" t="s">
        <v>454</v>
      </c>
    </row>
    <row r="12" spans="1:20" ht="14.4" customHeight="1" x14ac:dyDescent="0.3">
      <c r="A12" s="1" t="s">
        <v>153</v>
      </c>
      <c r="B12" t="s">
        <v>147</v>
      </c>
      <c r="C12" s="1">
        <v>1</v>
      </c>
      <c r="D12" s="1" t="s">
        <v>246</v>
      </c>
      <c r="E12" s="16">
        <f>IF(D12 = "","", INDEX(Categories!$A$2:$A$5, MATCH(D12,Categories!$B$2:$B$5, 0)))</f>
        <v>4</v>
      </c>
      <c r="F12" s="1" t="s">
        <v>6</v>
      </c>
      <c r="G12" s="6">
        <f>IF(F12 = "","",INDEX(Brands!$A$2:$A$5, MATCH(F12,Brands!$B$2:$B$5)))</f>
        <v>1</v>
      </c>
      <c r="H12" s="1">
        <v>165</v>
      </c>
      <c r="J12" s="1">
        <v>289</v>
      </c>
      <c r="L12" s="1">
        <v>353</v>
      </c>
      <c r="M12" t="s">
        <v>258</v>
      </c>
      <c r="N12" s="1">
        <v>230</v>
      </c>
      <c r="O12" s="1">
        <v>231</v>
      </c>
      <c r="P12" s="1">
        <v>235</v>
      </c>
      <c r="Q12" s="1" t="s">
        <v>274</v>
      </c>
      <c r="R12" s="1" t="s">
        <v>454</v>
      </c>
    </row>
    <row r="13" spans="1:20" x14ac:dyDescent="0.3">
      <c r="A13" s="1" t="s">
        <v>149</v>
      </c>
      <c r="B13" t="s">
        <v>275</v>
      </c>
      <c r="C13" s="1">
        <v>1</v>
      </c>
      <c r="D13" s="1" t="s">
        <v>246</v>
      </c>
      <c r="E13" s="16">
        <f>IF(D13 = "","", INDEX(Categories!$A$2:$A$5, MATCH(D13,Categories!$B$2:$B$5, 0)))</f>
        <v>4</v>
      </c>
      <c r="F13" s="1" t="s">
        <v>6</v>
      </c>
      <c r="G13" s="6">
        <f>IF(F13 = "","",INDEX(Brands!$A$2:$A$5, MATCH(F13,Brands!$B$2:$B$5)))</f>
        <v>1</v>
      </c>
      <c r="H13" s="1">
        <v>207</v>
      </c>
      <c r="J13" s="1">
        <v>256</v>
      </c>
      <c r="L13" s="1">
        <v>476</v>
      </c>
      <c r="M13" t="s">
        <v>368</v>
      </c>
      <c r="N13" s="1">
        <v>231</v>
      </c>
      <c r="O13" s="1">
        <v>232</v>
      </c>
      <c r="P13" s="1">
        <v>236</v>
      </c>
      <c r="Q13" s="1" t="s">
        <v>276</v>
      </c>
      <c r="R13" s="1" t="s">
        <v>454</v>
      </c>
    </row>
    <row r="14" spans="1:20" x14ac:dyDescent="0.3">
      <c r="E14" s="16" t="str">
        <f>IF(D14 = "","", INDEX(Categories!$A$2:$A$5, MATCH(D14,Categories!$B$2:$B$5, 0)))</f>
        <v/>
      </c>
      <c r="G14" s="6" t="str">
        <f>IF(F14 = "","",INDEX(Brands!$A$2:$A$5, MATCH(F14,Brands!$B$2:$B$5)))</f>
        <v/>
      </c>
      <c r="M14"/>
    </row>
    <row r="15" spans="1:20" x14ac:dyDescent="0.3">
      <c r="A15" s="1" t="s">
        <v>157</v>
      </c>
      <c r="B15" t="s">
        <v>156</v>
      </c>
      <c r="C15" s="1">
        <v>1</v>
      </c>
      <c r="D15" s="1" t="s">
        <v>246</v>
      </c>
      <c r="E15" s="16">
        <f>IF(D15 = "","", INDEX(Categories!$A$2:$A$5, MATCH(D15,Categories!$B$2:$B$5, 0)))</f>
        <v>4</v>
      </c>
      <c r="F15" s="1" t="s">
        <v>155</v>
      </c>
      <c r="G15" s="6">
        <f>IF(F15 = "","",INDEX(Brands!$A$2:$A$5, MATCH(F15,Brands!$B$2:$B$5)))</f>
        <v>1</v>
      </c>
      <c r="H15" s="1">
        <v>100</v>
      </c>
      <c r="J15" s="1">
        <v>111</v>
      </c>
      <c r="L15" s="1">
        <v>97</v>
      </c>
      <c r="M15" t="s">
        <v>259</v>
      </c>
      <c r="N15" s="1">
        <v>51</v>
      </c>
      <c r="O15" s="1">
        <v>77</v>
      </c>
      <c r="P15" s="1">
        <v>104</v>
      </c>
      <c r="Q15" s="1" t="s">
        <v>277</v>
      </c>
      <c r="R15" s="1" t="s">
        <v>454</v>
      </c>
    </row>
    <row r="16" spans="1:20" x14ac:dyDescent="0.3">
      <c r="A16" s="1" t="s">
        <v>159</v>
      </c>
      <c r="B16" t="s">
        <v>158</v>
      </c>
      <c r="C16" s="1">
        <v>1</v>
      </c>
      <c r="D16" s="1" t="s">
        <v>246</v>
      </c>
      <c r="E16" s="16">
        <f>IF(D16 = "","", INDEX(Categories!$A$2:$A$5, MATCH(D16,Categories!$B$2:$B$5, 0)))</f>
        <v>4</v>
      </c>
      <c r="F16" s="1" t="s">
        <v>155</v>
      </c>
      <c r="G16" s="6">
        <f>IF(F16 = "","",INDEX(Brands!$A$2:$A$5, MATCH(F16,Brands!$B$2:$B$5)))</f>
        <v>1</v>
      </c>
      <c r="H16" s="1">
        <v>100</v>
      </c>
      <c r="J16" s="1">
        <v>102</v>
      </c>
      <c r="L16" s="1">
        <v>504</v>
      </c>
      <c r="M16" t="s">
        <v>260</v>
      </c>
      <c r="N16" s="1">
        <v>220</v>
      </c>
      <c r="O16" s="1">
        <v>218</v>
      </c>
      <c r="P16" s="1">
        <v>219</v>
      </c>
      <c r="Q16" s="1" t="s">
        <v>278</v>
      </c>
      <c r="R16" s="1" t="s">
        <v>454</v>
      </c>
    </row>
    <row r="17" spans="1:18" x14ac:dyDescent="0.3">
      <c r="A17" s="1" t="s">
        <v>161</v>
      </c>
      <c r="B17" t="s">
        <v>160</v>
      </c>
      <c r="C17" s="1">
        <v>1</v>
      </c>
      <c r="D17" s="1" t="s">
        <v>246</v>
      </c>
      <c r="E17" s="16">
        <f>IF(D17 = "","", INDEX(Categories!$A$2:$A$5, MATCH(D17,Categories!$B$2:$B$5, 0)))</f>
        <v>4</v>
      </c>
      <c r="F17" s="1" t="s">
        <v>155</v>
      </c>
      <c r="G17" s="6">
        <f>IF(F17 = "","",INDEX(Brands!$A$2:$A$5, MATCH(F17,Brands!$B$2:$B$5)))</f>
        <v>1</v>
      </c>
      <c r="H17" s="1">
        <v>100</v>
      </c>
      <c r="J17" s="1">
        <v>102</v>
      </c>
      <c r="L17" s="1">
        <v>838</v>
      </c>
      <c r="M17" t="s">
        <v>261</v>
      </c>
      <c r="N17" s="1">
        <v>153</v>
      </c>
      <c r="O17" s="1">
        <v>149</v>
      </c>
      <c r="P17" s="1">
        <v>190</v>
      </c>
      <c r="Q17" s="1" t="s">
        <v>279</v>
      </c>
      <c r="R17" s="1" t="s">
        <v>454</v>
      </c>
    </row>
    <row r="18" spans="1:18" ht="14.4" customHeight="1" x14ac:dyDescent="0.3">
      <c r="A18" s="1" t="s">
        <v>163</v>
      </c>
      <c r="B18" t="s">
        <v>162</v>
      </c>
      <c r="C18" s="1">
        <v>1</v>
      </c>
      <c r="D18" s="1" t="s">
        <v>246</v>
      </c>
      <c r="E18" s="16">
        <f>IF(D18 = "","", INDEX(Categories!$A$2:$A$5, MATCH(D18,Categories!$B$2:$B$5, 0)))</f>
        <v>4</v>
      </c>
      <c r="F18" s="1" t="s">
        <v>155</v>
      </c>
      <c r="G18" s="6">
        <f>IF(F18 = "","",INDEX(Brands!$A$2:$A$5, MATCH(F18,Brands!$B$2:$B$5)))</f>
        <v>1</v>
      </c>
      <c r="H18" s="1">
        <v>100</v>
      </c>
      <c r="I18" s="1">
        <v>60</v>
      </c>
      <c r="J18" s="1">
        <v>101</v>
      </c>
      <c r="K18" s="1">
        <v>62</v>
      </c>
      <c r="L18" s="1">
        <v>382</v>
      </c>
      <c r="M18" t="s">
        <v>262</v>
      </c>
      <c r="N18" s="1">
        <v>204</v>
      </c>
      <c r="O18" s="1">
        <v>175</v>
      </c>
      <c r="P18" s="1">
        <v>145</v>
      </c>
      <c r="Q18" s="1" t="s">
        <v>280</v>
      </c>
      <c r="R18" s="1" t="s">
        <v>454</v>
      </c>
    </row>
    <row r="19" spans="1:18" ht="14.4" customHeight="1" x14ac:dyDescent="0.3">
      <c r="A19" s="1" t="s">
        <v>167</v>
      </c>
      <c r="B19" t="s">
        <v>166</v>
      </c>
      <c r="C19" s="1">
        <v>1</v>
      </c>
      <c r="D19" s="1" t="s">
        <v>246</v>
      </c>
      <c r="E19" s="16">
        <f>IF(D19 = "","", INDEX(Categories!$A$2:$A$5, MATCH(D19,Categories!$B$2:$B$5, 0)))</f>
        <v>4</v>
      </c>
      <c r="F19" s="1" t="s">
        <v>155</v>
      </c>
      <c r="G19" s="6">
        <f>IF(F19 = "","",INDEX(Brands!$A$2:$A$5, MATCH(F19,Brands!$B$2:$B$5)))</f>
        <v>1</v>
      </c>
      <c r="H19" s="1">
        <v>100</v>
      </c>
      <c r="I19" s="1">
        <v>83</v>
      </c>
      <c r="J19" s="1">
        <v>101</v>
      </c>
      <c r="K19" s="1">
        <v>98</v>
      </c>
      <c r="L19" s="1">
        <v>321</v>
      </c>
      <c r="M19" t="s">
        <v>263</v>
      </c>
      <c r="N19" s="1">
        <v>36</v>
      </c>
      <c r="O19" s="1">
        <v>36</v>
      </c>
      <c r="P19" s="1">
        <v>34</v>
      </c>
      <c r="Q19" s="1" t="s">
        <v>281</v>
      </c>
      <c r="R19" s="1" t="s">
        <v>454</v>
      </c>
    </row>
    <row r="20" spans="1:18" x14ac:dyDescent="0.3">
      <c r="A20" s="1" t="s">
        <v>165</v>
      </c>
      <c r="B20" t="s">
        <v>164</v>
      </c>
      <c r="C20" s="1">
        <v>1</v>
      </c>
      <c r="D20" s="1" t="s">
        <v>246</v>
      </c>
      <c r="E20" s="16">
        <f>IF(D20 = "","", INDEX(Categories!$A$2:$A$5, MATCH(D20,Categories!$B$2:$B$5, 0)))</f>
        <v>4</v>
      </c>
      <c r="F20" s="1" t="s">
        <v>155</v>
      </c>
      <c r="G20" s="6">
        <f>IF(F20 = "","",INDEX(Brands!$A$2:$A$5, MATCH(F20,Brands!$B$2:$B$5)))</f>
        <v>1</v>
      </c>
      <c r="H20" s="1">
        <v>100</v>
      </c>
      <c r="I20" s="1">
        <v>20</v>
      </c>
      <c r="J20" s="1">
        <v>101</v>
      </c>
      <c r="K20" s="1">
        <v>61</v>
      </c>
      <c r="L20" s="1">
        <v>554</v>
      </c>
      <c r="M20" t="s">
        <v>264</v>
      </c>
      <c r="N20" s="1">
        <v>61</v>
      </c>
      <c r="O20" s="1">
        <v>61</v>
      </c>
      <c r="P20" s="1">
        <v>63</v>
      </c>
      <c r="Q20" s="1" t="s">
        <v>282</v>
      </c>
      <c r="R20" s="1" t="s">
        <v>454</v>
      </c>
    </row>
    <row r="21" spans="1:18" x14ac:dyDescent="0.3">
      <c r="A21" s="1" t="s">
        <v>169</v>
      </c>
      <c r="B21" t="s">
        <v>168</v>
      </c>
      <c r="C21" s="1">
        <v>1</v>
      </c>
      <c r="D21" s="1" t="s">
        <v>246</v>
      </c>
      <c r="E21" s="16">
        <f>IF(D21 = "","", INDEX(Categories!$A$2:$A$5, MATCH(D21,Categories!$B$2:$B$5, 0)))</f>
        <v>4</v>
      </c>
      <c r="F21" s="1" t="s">
        <v>155</v>
      </c>
      <c r="G21" s="6">
        <f>IF(F21 = "","",INDEX(Brands!$A$2:$A$5, MATCH(F21,Brands!$B$2:$B$5)))</f>
        <v>1</v>
      </c>
      <c r="H21" s="1">
        <v>103</v>
      </c>
      <c r="J21" s="1">
        <v>165</v>
      </c>
      <c r="L21" s="1">
        <v>840</v>
      </c>
      <c r="M21" t="s">
        <v>369</v>
      </c>
      <c r="N21" s="1">
        <v>108</v>
      </c>
      <c r="O21" s="1">
        <v>122</v>
      </c>
      <c r="P21" s="1">
        <v>161</v>
      </c>
      <c r="Q21" s="1" t="s">
        <v>283</v>
      </c>
      <c r="R21" s="1" t="s">
        <v>454</v>
      </c>
    </row>
    <row r="22" spans="1:18" x14ac:dyDescent="0.3">
      <c r="A22" s="1" t="s">
        <v>171</v>
      </c>
      <c r="B22" t="s">
        <v>170</v>
      </c>
      <c r="C22" s="1">
        <v>1</v>
      </c>
      <c r="D22" s="1" t="s">
        <v>246</v>
      </c>
      <c r="E22" s="16">
        <f>IF(D22 = "","", INDEX(Categories!$A$2:$A$5, MATCH(D22,Categories!$B$2:$B$5, 0)))</f>
        <v>4</v>
      </c>
      <c r="F22" s="1" t="s">
        <v>155</v>
      </c>
      <c r="G22" s="6">
        <f>IF(F22 = "","",INDEX(Brands!$A$2:$A$5, MATCH(F22,Brands!$B$2:$B$5)))</f>
        <v>1</v>
      </c>
      <c r="H22" s="1">
        <v>185</v>
      </c>
      <c r="J22" s="1">
        <v>247</v>
      </c>
      <c r="L22" s="1">
        <v>818</v>
      </c>
      <c r="M22" t="s">
        <v>370</v>
      </c>
      <c r="N22" s="1">
        <v>46</v>
      </c>
      <c r="O22" s="1">
        <v>46</v>
      </c>
      <c r="P22" s="1">
        <v>46</v>
      </c>
      <c r="Q22" s="1" t="s">
        <v>284</v>
      </c>
      <c r="R22" s="1" t="s">
        <v>454</v>
      </c>
    </row>
    <row r="23" spans="1:18" x14ac:dyDescent="0.3">
      <c r="A23" s="1" t="s">
        <v>173</v>
      </c>
      <c r="B23" t="s">
        <v>172</v>
      </c>
      <c r="C23" s="1">
        <v>1</v>
      </c>
      <c r="D23" s="1" t="s">
        <v>246</v>
      </c>
      <c r="E23" s="16">
        <f>IF(D23 = "","", INDEX(Categories!$A$2:$A$5, MATCH(D23,Categories!$B$2:$B$5, 0)))</f>
        <v>4</v>
      </c>
      <c r="F23" s="1" t="s">
        <v>155</v>
      </c>
      <c r="G23" s="6">
        <f>IF(F23 = "","",INDEX(Brands!$A$2:$A$5, MATCH(F23,Brands!$B$2:$B$5)))</f>
        <v>1</v>
      </c>
      <c r="H23" s="1">
        <v>100</v>
      </c>
      <c r="I23" s="1">
        <v>83</v>
      </c>
      <c r="J23" s="1">
        <v>124</v>
      </c>
      <c r="L23" s="1">
        <v>29</v>
      </c>
      <c r="M23" t="s">
        <v>371</v>
      </c>
      <c r="N23" s="1">
        <v>220</v>
      </c>
      <c r="O23" s="1">
        <v>186</v>
      </c>
      <c r="P23" s="1">
        <v>187</v>
      </c>
      <c r="Q23" s="1" t="s">
        <v>285</v>
      </c>
      <c r="R23" s="1" t="s">
        <v>454</v>
      </c>
    </row>
    <row r="24" spans="1:18" x14ac:dyDescent="0.3">
      <c r="A24" s="1" t="s">
        <v>179</v>
      </c>
      <c r="B24" t="s">
        <v>178</v>
      </c>
      <c r="C24" s="1">
        <v>1</v>
      </c>
      <c r="D24" s="1" t="s">
        <v>246</v>
      </c>
      <c r="E24" s="16">
        <f>IF(D24 = "","", INDEX(Categories!$A$2:$A$5, MATCH(D24,Categories!$B$2:$B$5, 0)))</f>
        <v>4</v>
      </c>
      <c r="F24" s="1" t="s">
        <v>155</v>
      </c>
      <c r="G24" s="6">
        <f>IF(F24 = "","",INDEX(Brands!$A$2:$A$5, MATCH(F24,Brands!$B$2:$B$5)))</f>
        <v>1</v>
      </c>
      <c r="H24" s="1">
        <v>144</v>
      </c>
      <c r="J24" s="1">
        <v>206</v>
      </c>
      <c r="L24" s="1">
        <v>16</v>
      </c>
      <c r="M24" t="s">
        <v>372</v>
      </c>
      <c r="N24" s="1">
        <v>36</v>
      </c>
      <c r="O24" s="1">
        <v>36</v>
      </c>
      <c r="P24" s="1">
        <v>36</v>
      </c>
      <c r="Q24" s="1" t="s">
        <v>286</v>
      </c>
      <c r="R24" s="1" t="s">
        <v>454</v>
      </c>
    </row>
    <row r="25" spans="1:18" x14ac:dyDescent="0.3">
      <c r="A25" s="1" t="s">
        <v>183</v>
      </c>
      <c r="B25" t="s">
        <v>182</v>
      </c>
      <c r="C25" s="1">
        <v>1</v>
      </c>
      <c r="D25" s="1" t="s">
        <v>246</v>
      </c>
      <c r="E25" s="16">
        <f>IF(D25 = "","", INDEX(Categories!$A$2:$A$5, MATCH(D25,Categories!$B$2:$B$5, 0)))</f>
        <v>4</v>
      </c>
      <c r="F25" s="1" t="s">
        <v>155</v>
      </c>
      <c r="G25" s="6">
        <f>IF(F25 = "","",INDEX(Brands!$A$2:$A$5, MATCH(F25,Brands!$B$2:$B$5)))</f>
        <v>1</v>
      </c>
      <c r="H25" s="1">
        <v>124</v>
      </c>
      <c r="J25" s="1">
        <v>144</v>
      </c>
      <c r="L25" s="1">
        <v>722</v>
      </c>
      <c r="M25" t="s">
        <v>373</v>
      </c>
      <c r="N25" s="1">
        <v>73</v>
      </c>
      <c r="O25" s="1">
        <v>84</v>
      </c>
      <c r="P25" s="1">
        <v>109</v>
      </c>
      <c r="Q25" s="1" t="s">
        <v>287</v>
      </c>
      <c r="R25" s="1" t="s">
        <v>454</v>
      </c>
    </row>
    <row r="26" spans="1:18" x14ac:dyDescent="0.3">
      <c r="A26" s="1" t="s">
        <v>175</v>
      </c>
      <c r="B26" t="s">
        <v>174</v>
      </c>
      <c r="C26" s="1">
        <v>1</v>
      </c>
      <c r="D26" s="1" t="s">
        <v>246</v>
      </c>
      <c r="E26" s="16">
        <f>IF(D26 = "","", INDEX(Categories!$A$2:$A$5, MATCH(D26,Categories!$B$2:$B$5, 0)))</f>
        <v>4</v>
      </c>
      <c r="F26" s="1" t="s">
        <v>155</v>
      </c>
      <c r="G26" s="6">
        <f>IF(F26 = "","",INDEX(Brands!$A$2:$A$5, MATCH(F26,Brands!$B$2:$B$5)))</f>
        <v>1</v>
      </c>
      <c r="H26" s="1">
        <v>100</v>
      </c>
      <c r="J26" s="1">
        <v>102</v>
      </c>
      <c r="L26" s="1">
        <v>782</v>
      </c>
      <c r="M26" t="s">
        <v>374</v>
      </c>
      <c r="N26" s="1">
        <v>154</v>
      </c>
      <c r="O26" s="1">
        <v>146</v>
      </c>
      <c r="P26" s="1">
        <v>187</v>
      </c>
      <c r="Q26" s="1" t="s">
        <v>288</v>
      </c>
      <c r="R26" s="1" t="s">
        <v>454</v>
      </c>
    </row>
    <row r="27" spans="1:18" x14ac:dyDescent="0.3">
      <c r="A27" s="1" t="s">
        <v>181</v>
      </c>
      <c r="B27" t="s">
        <v>180</v>
      </c>
      <c r="C27" s="1">
        <v>1</v>
      </c>
      <c r="D27" s="1" t="s">
        <v>246</v>
      </c>
      <c r="E27" s="16">
        <f>IF(D27 = "","", INDEX(Categories!$A$2:$A$5, MATCH(D27,Categories!$B$2:$B$5, 0)))</f>
        <v>4</v>
      </c>
      <c r="F27" s="1" t="s">
        <v>155</v>
      </c>
      <c r="G27" s="6">
        <f>IF(F27 = "","",INDEX(Brands!$A$2:$A$5, MATCH(F27,Brands!$B$2:$B$5)))</f>
        <v>1</v>
      </c>
      <c r="H27" s="1">
        <v>103</v>
      </c>
      <c r="J27" s="1">
        <v>124</v>
      </c>
      <c r="L27" s="1">
        <v>51</v>
      </c>
      <c r="M27" t="s">
        <v>375</v>
      </c>
      <c r="N27" s="1">
        <v>32</v>
      </c>
      <c r="O27" s="1">
        <v>32</v>
      </c>
      <c r="P27" s="1">
        <v>32</v>
      </c>
      <c r="Q27" s="1" t="s">
        <v>289</v>
      </c>
      <c r="R27" s="1" t="s">
        <v>454</v>
      </c>
    </row>
    <row r="28" spans="1:18" x14ac:dyDescent="0.3">
      <c r="A28" s="1" t="s">
        <v>177</v>
      </c>
      <c r="B28" t="s">
        <v>176</v>
      </c>
      <c r="C28" s="1">
        <v>1</v>
      </c>
      <c r="D28" s="1" t="s">
        <v>246</v>
      </c>
      <c r="E28" s="16">
        <f>IF(D28 = "","", INDEX(Categories!$A$2:$A$5, MATCH(D28,Categories!$B$2:$B$5, 0)))</f>
        <v>4</v>
      </c>
      <c r="F28" s="1" t="s">
        <v>155</v>
      </c>
      <c r="G28" s="6">
        <f>IF(F28 = "","",INDEX(Brands!$A$2:$A$5, MATCH(F28,Brands!$B$2:$B$5)))</f>
        <v>1</v>
      </c>
      <c r="H28" s="1">
        <v>100</v>
      </c>
      <c r="I28" s="1">
        <v>50</v>
      </c>
      <c r="J28" s="1">
        <v>101</v>
      </c>
      <c r="K28" s="1">
        <v>58</v>
      </c>
      <c r="L28" s="1">
        <v>737</v>
      </c>
      <c r="M28" t="s">
        <v>376</v>
      </c>
      <c r="N28" s="1">
        <v>232</v>
      </c>
      <c r="O28" s="1">
        <v>232</v>
      </c>
      <c r="P28" s="1">
        <v>232</v>
      </c>
      <c r="Q28" s="1" t="s">
        <v>290</v>
      </c>
      <c r="R28" s="1" t="s">
        <v>454</v>
      </c>
    </row>
    <row r="29" spans="1:18" x14ac:dyDescent="0.3">
      <c r="A29" s="1" t="s">
        <v>186</v>
      </c>
      <c r="B29" t="s">
        <v>185</v>
      </c>
      <c r="C29" s="1">
        <v>1</v>
      </c>
      <c r="D29" s="1" t="s">
        <v>246</v>
      </c>
      <c r="E29" s="16">
        <f>IF(D29 = "","", INDEX(Categories!$A$2:$A$5, MATCH(D29,Categories!$B$2:$B$5, 0)))</f>
        <v>4</v>
      </c>
      <c r="F29" s="1" t="s">
        <v>155</v>
      </c>
      <c r="G29" s="6">
        <f>IF(F29 = "","",INDEX(Brands!$A$2:$A$5, MATCH(F29,Brands!$B$2:$B$5)))</f>
        <v>1</v>
      </c>
      <c r="H29" s="1">
        <v>100</v>
      </c>
      <c r="I29" s="1">
        <v>41</v>
      </c>
      <c r="J29" s="1">
        <v>101</v>
      </c>
      <c r="K29" s="1">
        <v>58</v>
      </c>
      <c r="L29" s="1">
        <v>633</v>
      </c>
      <c r="M29" t="s">
        <v>377</v>
      </c>
      <c r="N29" s="1">
        <v>203</v>
      </c>
      <c r="O29" s="1">
        <v>190</v>
      </c>
      <c r="P29" s="1">
        <v>197</v>
      </c>
      <c r="Q29" s="1" t="s">
        <v>291</v>
      </c>
      <c r="R29" s="1" t="s">
        <v>454</v>
      </c>
    </row>
    <row r="30" spans="1:18" x14ac:dyDescent="0.3">
      <c r="A30" s="1" t="s">
        <v>189</v>
      </c>
      <c r="B30" t="s">
        <v>188</v>
      </c>
      <c r="C30" s="1">
        <v>1</v>
      </c>
      <c r="D30" s="1" t="s">
        <v>246</v>
      </c>
      <c r="E30" s="16">
        <f>IF(D30 = "","", INDEX(Categories!$A$2:$A$5, MATCH(D30,Categories!$B$2:$B$5, 0)))</f>
        <v>4</v>
      </c>
      <c r="F30" s="1" t="s">
        <v>155</v>
      </c>
      <c r="G30" s="6">
        <f>IF(F30 = "","",INDEX(Brands!$A$2:$A$5, MATCH(F30,Brands!$B$2:$B$5)))</f>
        <v>1</v>
      </c>
      <c r="H30" s="1">
        <v>100</v>
      </c>
      <c r="I30" s="1">
        <v>20</v>
      </c>
      <c r="J30" s="1">
        <v>101</v>
      </c>
      <c r="K30" s="1">
        <v>37</v>
      </c>
      <c r="L30" s="1">
        <v>932</v>
      </c>
      <c r="M30" t="s">
        <v>378</v>
      </c>
      <c r="N30" s="1">
        <v>51</v>
      </c>
      <c r="O30" s="1">
        <v>51</v>
      </c>
      <c r="P30" s="1">
        <v>51</v>
      </c>
      <c r="Q30" s="1" t="s">
        <v>292</v>
      </c>
      <c r="R30" s="1" t="s">
        <v>454</v>
      </c>
    </row>
    <row r="31" spans="1:18" x14ac:dyDescent="0.3">
      <c r="A31" s="1" t="s">
        <v>187</v>
      </c>
      <c r="B31" t="s">
        <v>184</v>
      </c>
      <c r="C31" s="1">
        <v>1</v>
      </c>
      <c r="D31" s="1" t="s">
        <v>246</v>
      </c>
      <c r="E31" s="16">
        <f>IF(D31 = "","", INDEX(Categories!$A$2:$A$5, MATCH(D31,Categories!$B$2:$B$5, 0)))</f>
        <v>4</v>
      </c>
      <c r="F31" s="1" t="s">
        <v>155</v>
      </c>
      <c r="G31" s="6">
        <f>IF(F31 = "","",INDEX(Brands!$A$2:$A$5, MATCH(F31,Brands!$B$2:$B$5)))</f>
        <v>1</v>
      </c>
      <c r="H31" s="1">
        <v>100</v>
      </c>
      <c r="I31" s="1">
        <v>82</v>
      </c>
      <c r="J31" s="1">
        <v>226</v>
      </c>
      <c r="L31" s="1">
        <v>144</v>
      </c>
      <c r="M31" t="s">
        <v>379</v>
      </c>
      <c r="N31" s="1">
        <v>105</v>
      </c>
      <c r="O31" s="1">
        <v>105</v>
      </c>
      <c r="P31" s="1">
        <v>105</v>
      </c>
      <c r="Q31" s="1" t="s">
        <v>293</v>
      </c>
      <c r="R31" s="1" t="s">
        <v>454</v>
      </c>
    </row>
    <row r="32" spans="1:18" x14ac:dyDescent="0.3">
      <c r="A32" s="1" t="s">
        <v>191</v>
      </c>
      <c r="B32" t="s">
        <v>190</v>
      </c>
      <c r="C32" s="1">
        <v>1</v>
      </c>
      <c r="D32" s="1" t="s">
        <v>246</v>
      </c>
      <c r="E32" s="16">
        <f>IF(D32 = "","", INDEX(Categories!$A$2:$A$5, MATCH(D32,Categories!$B$2:$B$5, 0)))</f>
        <v>4</v>
      </c>
      <c r="F32" s="1" t="s">
        <v>155</v>
      </c>
      <c r="G32" s="6">
        <f>IF(F32 = "","",INDEX(Brands!$A$2:$A$5, MATCH(F32,Brands!$B$2:$B$5)))</f>
        <v>1</v>
      </c>
      <c r="H32" s="1">
        <v>100</v>
      </c>
      <c r="J32" s="1">
        <v>102</v>
      </c>
      <c r="L32" s="1">
        <v>657</v>
      </c>
      <c r="M32" t="s">
        <v>380</v>
      </c>
      <c r="N32" s="1">
        <v>77</v>
      </c>
      <c r="O32" s="1">
        <v>78</v>
      </c>
      <c r="P32" s="1">
        <v>80</v>
      </c>
      <c r="Q32" s="1" t="s">
        <v>294</v>
      </c>
      <c r="R32" s="1" t="s">
        <v>454</v>
      </c>
    </row>
    <row r="33" spans="1:18" ht="25.8" x14ac:dyDescent="0.5">
      <c r="A33" s="22" t="s">
        <v>19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x14ac:dyDescent="0.3">
      <c r="A34" s="1" t="s">
        <v>17</v>
      </c>
      <c r="B34" t="s">
        <v>25</v>
      </c>
      <c r="C34" s="1">
        <v>1</v>
      </c>
      <c r="D34" s="1" t="s">
        <v>3</v>
      </c>
      <c r="E34" s="16">
        <f>IF(D34 = "","", INDEX(Categories!$A$2:$A$5, MATCH(D34,Categories!$B$2:$B$5, 0)))</f>
        <v>2</v>
      </c>
      <c r="F34" s="1" t="s">
        <v>6</v>
      </c>
      <c r="G34" s="6">
        <f>IF(F34 = "","",INDEX(Brands!$A$2:$A$5, MATCH(F34,Brands!$B$2:$B$5)))</f>
        <v>1</v>
      </c>
      <c r="H34" s="1">
        <v>2200</v>
      </c>
      <c r="J34" s="1">
        <v>2500</v>
      </c>
      <c r="L34" s="1">
        <v>512</v>
      </c>
      <c r="M34" t="s">
        <v>381</v>
      </c>
      <c r="N34" s="1">
        <v>150</v>
      </c>
      <c r="O34" s="1">
        <v>146</v>
      </c>
      <c r="P34" s="1">
        <v>141</v>
      </c>
      <c r="Q34" s="1" t="s">
        <v>295</v>
      </c>
      <c r="R34" s="1" t="s">
        <v>454</v>
      </c>
    </row>
    <row r="35" spans="1:18" x14ac:dyDescent="0.3">
      <c r="A35" s="1" t="s">
        <v>23</v>
      </c>
      <c r="B35" t="s">
        <v>28</v>
      </c>
      <c r="C35" s="1">
        <v>1</v>
      </c>
      <c r="D35" s="1" t="s">
        <v>3</v>
      </c>
      <c r="E35" s="16">
        <f>IF(D35 = "","", INDEX(Categories!$A$2:$A$5, MATCH(D35,Categories!$B$2:$B$5, 0)))</f>
        <v>2</v>
      </c>
      <c r="F35" s="1" t="s">
        <v>6</v>
      </c>
      <c r="G35" s="6">
        <f>IF(F35 = "","",INDEX(Brands!$A$2:$A$5, MATCH(F35,Brands!$B$2:$B$5)))</f>
        <v>1</v>
      </c>
      <c r="H35" s="1">
        <v>1072</v>
      </c>
      <c r="J35" s="1">
        <v>1196</v>
      </c>
      <c r="L35" s="1">
        <v>264</v>
      </c>
      <c r="M35" t="s">
        <v>382</v>
      </c>
      <c r="N35" s="1">
        <v>72</v>
      </c>
      <c r="O35" s="1">
        <v>77</v>
      </c>
      <c r="P35" s="1">
        <v>82</v>
      </c>
      <c r="Q35" s="1" t="s">
        <v>296</v>
      </c>
      <c r="R35" s="1" t="s">
        <v>454</v>
      </c>
    </row>
    <row r="36" spans="1:18" x14ac:dyDescent="0.3">
      <c r="A36" s="1" t="s">
        <v>33</v>
      </c>
      <c r="B36" t="s">
        <v>24</v>
      </c>
      <c r="C36" s="1">
        <v>1</v>
      </c>
      <c r="D36" s="1" t="s">
        <v>3</v>
      </c>
      <c r="E36" s="16">
        <f>IF(D36 = "","", INDEX(Categories!$A$2:$A$5, MATCH(D36,Categories!$B$2:$B$5, 0)))</f>
        <v>2</v>
      </c>
      <c r="F36" s="1" t="s">
        <v>6</v>
      </c>
      <c r="G36" s="6">
        <f>IF(F36 = "","",INDEX(Brands!$A$2:$A$5, MATCH(F36,Brands!$B$2:$B$5)))</f>
        <v>1</v>
      </c>
      <c r="H36" s="1">
        <v>948</v>
      </c>
      <c r="J36" s="1">
        <v>1072</v>
      </c>
      <c r="L36" s="1">
        <v>713</v>
      </c>
      <c r="M36" t="s">
        <v>383</v>
      </c>
      <c r="N36" s="1">
        <v>254</v>
      </c>
      <c r="O36" s="1">
        <v>228</v>
      </c>
      <c r="P36" s="1">
        <v>227</v>
      </c>
      <c r="Q36" s="1" t="s">
        <v>297</v>
      </c>
      <c r="R36" s="1" t="s">
        <v>454</v>
      </c>
    </row>
    <row r="37" spans="1:18" x14ac:dyDescent="0.3">
      <c r="A37" s="1" t="s">
        <v>27</v>
      </c>
      <c r="B37" t="s">
        <v>26</v>
      </c>
      <c r="C37" s="1">
        <v>1</v>
      </c>
      <c r="D37" s="1" t="s">
        <v>3</v>
      </c>
      <c r="E37" s="16">
        <f>IF(D37 = "","", INDEX(Categories!$A$2:$A$5, MATCH(D37,Categories!$B$2:$B$5, 0)))</f>
        <v>2</v>
      </c>
      <c r="F37" s="1" t="s">
        <v>6</v>
      </c>
      <c r="G37" s="6">
        <f>IF(F37 = "","",INDEX(Brands!$A$2:$A$5, MATCH(F37,Brands!$B$2:$B$5)))</f>
        <v>1</v>
      </c>
      <c r="H37" s="1">
        <v>825</v>
      </c>
      <c r="J37" s="1">
        <v>948</v>
      </c>
      <c r="L37" s="1">
        <v>942</v>
      </c>
      <c r="M37" t="s">
        <v>384</v>
      </c>
      <c r="N37" s="1">
        <v>254</v>
      </c>
      <c r="O37" s="1">
        <v>249</v>
      </c>
      <c r="P37" s="1">
        <v>227</v>
      </c>
      <c r="Q37" s="1" t="s">
        <v>298</v>
      </c>
      <c r="R37" s="1" t="s">
        <v>454</v>
      </c>
    </row>
    <row r="38" spans="1:18" x14ac:dyDescent="0.3">
      <c r="A38" s="1" t="s">
        <v>30</v>
      </c>
      <c r="B38" t="s">
        <v>29</v>
      </c>
      <c r="C38" s="1">
        <v>1</v>
      </c>
      <c r="D38" s="1" t="s">
        <v>3</v>
      </c>
      <c r="E38" s="16">
        <f>IF(D38 = "","", INDEX(Categories!$A$2:$A$5, MATCH(D38,Categories!$B$2:$B$5, 0)))</f>
        <v>2</v>
      </c>
      <c r="F38" s="1" t="s">
        <v>6</v>
      </c>
      <c r="G38" s="6">
        <f>IF(F38 = "","",INDEX(Brands!$A$2:$A$5, MATCH(F38,Brands!$B$2:$B$5)))</f>
        <v>1</v>
      </c>
      <c r="H38" s="1">
        <v>1031</v>
      </c>
      <c r="J38" s="1">
        <v>1237</v>
      </c>
      <c r="L38" s="1">
        <v>791</v>
      </c>
      <c r="M38" t="s">
        <v>385</v>
      </c>
      <c r="N38" s="1">
        <v>65</v>
      </c>
      <c r="O38" s="1">
        <v>59</v>
      </c>
      <c r="P38" s="1">
        <v>71</v>
      </c>
      <c r="Q38" s="1" t="s">
        <v>299</v>
      </c>
      <c r="R38" s="1" t="s">
        <v>454</v>
      </c>
    </row>
    <row r="39" spans="1:18" x14ac:dyDescent="0.3">
      <c r="A39" s="1" t="s">
        <v>32</v>
      </c>
      <c r="B39" t="s">
        <v>31</v>
      </c>
      <c r="C39" s="1">
        <v>1</v>
      </c>
      <c r="D39" s="1" t="s">
        <v>3</v>
      </c>
      <c r="E39" s="16">
        <f>IF(D39 = "","", INDEX(Categories!$A$2:$A$5, MATCH(D39,Categories!$B$2:$B$5, 0)))</f>
        <v>2</v>
      </c>
      <c r="F39" s="1" t="s">
        <v>6</v>
      </c>
      <c r="G39" s="6">
        <f>IF(F39 = "","",INDEX(Brands!$A$2:$A$5, MATCH(F39,Brands!$B$2:$B$5)))</f>
        <v>1</v>
      </c>
      <c r="H39" s="1">
        <v>947</v>
      </c>
      <c r="J39" s="1">
        <v>1155</v>
      </c>
      <c r="L39" s="1">
        <v>35</v>
      </c>
      <c r="M39" t="s">
        <v>386</v>
      </c>
      <c r="N39" s="1">
        <v>65</v>
      </c>
      <c r="O39" s="1">
        <v>59</v>
      </c>
      <c r="P39" s="1">
        <v>71</v>
      </c>
      <c r="Q39" s="1" t="s">
        <v>299</v>
      </c>
      <c r="R39" s="1" t="s">
        <v>454</v>
      </c>
    </row>
    <row r="40" spans="1:18" x14ac:dyDescent="0.3">
      <c r="A40" s="1" t="s">
        <v>34</v>
      </c>
      <c r="B40" t="s">
        <v>35</v>
      </c>
      <c r="C40" s="1">
        <v>1</v>
      </c>
      <c r="D40" s="1" t="s">
        <v>3</v>
      </c>
      <c r="E40" s="16">
        <f>IF(D40 = "","", INDEX(Categories!$A$2:$A$5, MATCH(D40,Categories!$B$2:$B$5, 0)))</f>
        <v>2</v>
      </c>
      <c r="F40" s="1" t="s">
        <v>6</v>
      </c>
      <c r="G40" s="6">
        <f>IF(F40 = "","",INDEX(Brands!$A$2:$A$5, MATCH(F40,Brands!$B$2:$B$5)))</f>
        <v>1</v>
      </c>
      <c r="H40" s="1">
        <v>784</v>
      </c>
      <c r="J40" s="1">
        <v>1031</v>
      </c>
      <c r="L40" s="1">
        <v>787</v>
      </c>
      <c r="M40" t="s">
        <v>387</v>
      </c>
      <c r="N40" s="1">
        <v>157</v>
      </c>
      <c r="O40" s="1">
        <v>174</v>
      </c>
      <c r="P40" s="1">
        <v>192</v>
      </c>
      <c r="Q40" s="1" t="s">
        <v>300</v>
      </c>
      <c r="R40" s="1" t="s">
        <v>454</v>
      </c>
    </row>
    <row r="41" spans="1:18" x14ac:dyDescent="0.3">
      <c r="A41" s="1" t="s">
        <v>37</v>
      </c>
      <c r="B41" t="s">
        <v>36</v>
      </c>
      <c r="C41" s="1">
        <v>1</v>
      </c>
      <c r="D41" s="1" t="s">
        <v>3</v>
      </c>
      <c r="E41" s="16">
        <f>IF(D41 = "","", INDEX(Categories!$A$2:$A$5, MATCH(D41,Categories!$B$2:$B$5, 0)))</f>
        <v>2</v>
      </c>
      <c r="F41" s="1" t="s">
        <v>6</v>
      </c>
      <c r="G41" s="6">
        <f>IF(F41 = "","",INDEX(Brands!$A$2:$A$5, MATCH(F41,Brands!$B$2:$B$5)))</f>
        <v>1</v>
      </c>
      <c r="H41" s="1">
        <v>660</v>
      </c>
      <c r="J41" s="1">
        <v>948</v>
      </c>
      <c r="L41" s="1">
        <v>729</v>
      </c>
      <c r="M41" t="s">
        <v>388</v>
      </c>
      <c r="N41" s="1">
        <v>157</v>
      </c>
      <c r="O41" s="1">
        <v>176</v>
      </c>
      <c r="P41" s="1">
        <v>193</v>
      </c>
      <c r="Q41" s="1" t="s">
        <v>301</v>
      </c>
      <c r="R41" s="1" t="s">
        <v>454</v>
      </c>
    </row>
    <row r="42" spans="1:18" x14ac:dyDescent="0.3">
      <c r="A42" s="1" t="s">
        <v>38</v>
      </c>
      <c r="B42" t="s">
        <v>39</v>
      </c>
      <c r="C42" s="1">
        <v>1</v>
      </c>
      <c r="D42" s="1" t="s">
        <v>3</v>
      </c>
      <c r="E42" s="16">
        <f>IF(D42 = "","", INDEX(Categories!$A$2:$A$5, MATCH(D42,Categories!$B$2:$B$5, 0)))</f>
        <v>2</v>
      </c>
      <c r="F42" s="1" t="s">
        <v>6</v>
      </c>
      <c r="G42" s="6">
        <f>IF(F42 = "","",INDEX(Brands!$A$2:$A$5, MATCH(F42,Brands!$B$2:$B$5)))</f>
        <v>1</v>
      </c>
      <c r="H42" s="1">
        <v>866</v>
      </c>
      <c r="J42" s="1">
        <v>1196</v>
      </c>
      <c r="L42" s="1">
        <v>755</v>
      </c>
      <c r="M42" t="s">
        <v>389</v>
      </c>
      <c r="N42" s="1">
        <v>238</v>
      </c>
      <c r="O42" s="1">
        <v>222</v>
      </c>
      <c r="P42" s="1">
        <v>198</v>
      </c>
      <c r="Q42" s="1" t="s">
        <v>302</v>
      </c>
      <c r="R42" s="1" t="s">
        <v>454</v>
      </c>
    </row>
    <row r="43" spans="1:18" x14ac:dyDescent="0.3">
      <c r="A43" s="1" t="s">
        <v>40</v>
      </c>
      <c r="B43" t="s">
        <v>41</v>
      </c>
      <c r="C43" s="1">
        <v>1</v>
      </c>
      <c r="D43" s="1" t="s">
        <v>3</v>
      </c>
      <c r="E43" s="16">
        <f>IF(D43 = "","", INDEX(Categories!$A$2:$A$5, MATCH(D43,Categories!$B$2:$B$5, 0)))</f>
        <v>2</v>
      </c>
      <c r="F43" s="1" t="s">
        <v>6</v>
      </c>
      <c r="G43" s="6">
        <f>IF(F43 = "","",INDEX(Brands!$A$2:$A$5, MATCH(F43,Brands!$B$2:$B$5)))</f>
        <v>1</v>
      </c>
      <c r="H43" s="1">
        <v>990</v>
      </c>
      <c r="J43" s="1">
        <v>1113</v>
      </c>
      <c r="L43" s="1">
        <v>496</v>
      </c>
      <c r="M43" t="s">
        <v>390</v>
      </c>
      <c r="N43" s="1">
        <v>147</v>
      </c>
      <c r="O43" s="1">
        <v>163</v>
      </c>
      <c r="P43" s="1">
        <v>188</v>
      </c>
      <c r="Q43" s="1" t="s">
        <v>303</v>
      </c>
      <c r="R43" s="1" t="s">
        <v>454</v>
      </c>
    </row>
    <row r="44" spans="1:18" x14ac:dyDescent="0.3">
      <c r="A44" s="1" t="s">
        <v>43</v>
      </c>
      <c r="B44" t="s">
        <v>42</v>
      </c>
      <c r="C44" s="1">
        <v>1</v>
      </c>
      <c r="D44" s="1" t="s">
        <v>3</v>
      </c>
      <c r="E44" s="16">
        <f>IF(D44 = "","", INDEX(Categories!$A$2:$A$5, MATCH(D44,Categories!$B$2:$B$5, 0)))</f>
        <v>2</v>
      </c>
      <c r="F44" s="1" t="s">
        <v>6</v>
      </c>
      <c r="G44" s="6">
        <f>IF(F44 = "","",INDEX(Brands!$A$2:$A$5, MATCH(F44,Brands!$B$2:$B$5)))</f>
        <v>1</v>
      </c>
      <c r="H44" s="1">
        <v>578</v>
      </c>
      <c r="J44" s="1">
        <v>784</v>
      </c>
      <c r="L44" s="1">
        <v>719</v>
      </c>
      <c r="M44" t="s">
        <v>391</v>
      </c>
      <c r="N44" s="1">
        <v>249</v>
      </c>
      <c r="O44" s="1">
        <v>222</v>
      </c>
      <c r="P44" s="1">
        <v>215</v>
      </c>
      <c r="Q44" s="1" t="s">
        <v>304</v>
      </c>
      <c r="R44" s="1" t="s">
        <v>454</v>
      </c>
    </row>
    <row r="45" spans="1:18" x14ac:dyDescent="0.3">
      <c r="A45" s="1" t="s">
        <v>44</v>
      </c>
      <c r="B45" t="s">
        <v>45</v>
      </c>
      <c r="C45" s="1">
        <v>1</v>
      </c>
      <c r="D45" s="1" t="s">
        <v>3</v>
      </c>
      <c r="E45" s="16">
        <f>IF(D45 = "","", INDEX(Categories!$A$2:$A$5, MATCH(D45,Categories!$B$2:$B$5, 0)))</f>
        <v>2</v>
      </c>
      <c r="F45" s="1" t="s">
        <v>6</v>
      </c>
      <c r="G45" s="6">
        <f>IF(F45 = "","",INDEX(Brands!$A$2:$A$5, MATCH(F45,Brands!$B$2:$B$5)))</f>
        <v>1</v>
      </c>
      <c r="H45" s="1">
        <v>947</v>
      </c>
      <c r="J45" s="1">
        <v>1196</v>
      </c>
      <c r="L45" s="1">
        <v>761</v>
      </c>
      <c r="M45" t="s">
        <v>392</v>
      </c>
      <c r="N45" s="1">
        <v>251</v>
      </c>
      <c r="O45" s="1">
        <v>235</v>
      </c>
      <c r="P45" s="1">
        <v>210</v>
      </c>
      <c r="Q45" s="1" t="s">
        <v>305</v>
      </c>
      <c r="R45" s="1" t="s">
        <v>454</v>
      </c>
    </row>
    <row r="46" spans="1:18" x14ac:dyDescent="0.3">
      <c r="A46" s="1" t="s">
        <v>46</v>
      </c>
      <c r="B46" t="s">
        <v>47</v>
      </c>
      <c r="C46" s="1">
        <v>1</v>
      </c>
      <c r="D46" s="1" t="s">
        <v>3</v>
      </c>
      <c r="E46" s="16">
        <f>IF(D46 = "","", INDEX(Categories!$A$2:$A$5, MATCH(D46,Categories!$B$2:$B$5, 0)))</f>
        <v>2</v>
      </c>
      <c r="F46" s="1" t="s">
        <v>6</v>
      </c>
      <c r="G46" s="6">
        <f>IF(F46 = "","",INDEX(Brands!$A$2:$A$5, MATCH(F46,Brands!$B$2:$B$5)))</f>
        <v>1</v>
      </c>
      <c r="H46" s="1">
        <v>989</v>
      </c>
      <c r="J46" s="1">
        <v>1113</v>
      </c>
      <c r="L46" s="1">
        <v>969</v>
      </c>
      <c r="M46" t="s">
        <v>393</v>
      </c>
      <c r="N46" s="1">
        <v>70</v>
      </c>
      <c r="O46" s="1">
        <v>64</v>
      </c>
      <c r="P46" s="1">
        <v>64</v>
      </c>
      <c r="Q46" s="1" t="s">
        <v>306</v>
      </c>
      <c r="R46" s="1" t="s">
        <v>454</v>
      </c>
    </row>
    <row r="47" spans="1:18" x14ac:dyDescent="0.3">
      <c r="A47" s="1" t="s">
        <v>48</v>
      </c>
      <c r="B47" t="s">
        <v>49</v>
      </c>
      <c r="C47" s="1">
        <v>1</v>
      </c>
      <c r="D47" s="1" t="s">
        <v>3</v>
      </c>
      <c r="E47" s="16">
        <f>IF(D47 = "","", INDEX(Categories!$A$2:$A$5, MATCH(D47,Categories!$B$2:$B$5, 0)))</f>
        <v>2</v>
      </c>
      <c r="F47" s="1" t="s">
        <v>6</v>
      </c>
      <c r="G47" s="6">
        <f>IF(F47 = "","",INDEX(Brands!$A$2:$A$5, MATCH(F47,Brands!$B$2:$B$5)))</f>
        <v>1</v>
      </c>
      <c r="H47" s="1">
        <v>536</v>
      </c>
      <c r="J47" s="1">
        <v>742</v>
      </c>
      <c r="L47" s="1">
        <v>267</v>
      </c>
      <c r="M47" t="s">
        <v>394</v>
      </c>
      <c r="N47" s="1">
        <v>200</v>
      </c>
      <c r="O47" s="1">
        <v>219</v>
      </c>
      <c r="P47" s="1">
        <v>199</v>
      </c>
      <c r="Q47" s="1" t="s">
        <v>307</v>
      </c>
      <c r="R47" s="1" t="s">
        <v>454</v>
      </c>
    </row>
    <row r="48" spans="1:18" x14ac:dyDescent="0.3">
      <c r="A48" s="1" t="s">
        <v>50</v>
      </c>
      <c r="B48" t="s">
        <v>51</v>
      </c>
      <c r="C48" s="1">
        <v>1</v>
      </c>
      <c r="D48" s="1" t="s">
        <v>3</v>
      </c>
      <c r="E48" s="16">
        <f>IF(D48 = "","", INDEX(Categories!$A$2:$A$5, MATCH(D48,Categories!$B$2:$B$5, 0)))</f>
        <v>2</v>
      </c>
      <c r="F48" s="1" t="s">
        <v>6</v>
      </c>
      <c r="G48" s="6">
        <f>IF(F48 = "","",INDEX(Brands!$A$2:$A$5, MATCH(F48,Brands!$B$2:$B$5)))</f>
        <v>1</v>
      </c>
      <c r="H48" s="1">
        <v>454</v>
      </c>
      <c r="J48" s="1">
        <v>577</v>
      </c>
      <c r="L48" s="1">
        <v>0</v>
      </c>
      <c r="M48" t="s">
        <v>395</v>
      </c>
      <c r="N48" s="1">
        <v>182</v>
      </c>
      <c r="O48" s="1">
        <v>8</v>
      </c>
      <c r="P48" s="1">
        <v>45</v>
      </c>
      <c r="Q48" s="1" t="s">
        <v>308</v>
      </c>
      <c r="R48" s="1" t="s">
        <v>454</v>
      </c>
    </row>
    <row r="49" spans="1:18" x14ac:dyDescent="0.3">
      <c r="E49" s="16" t="str">
        <f>IF(D49 = "","", INDEX(Categories!$A$2:$A$5, MATCH(D49,Categories!$B$2:$B$5, 0)))</f>
        <v/>
      </c>
      <c r="G49" s="6" t="str">
        <f>IF(F49 = "","",INDEX(Brands!$A$2:$A$5, MATCH(F49,Brands!$B$2:$B$5)))</f>
        <v/>
      </c>
      <c r="M49"/>
    </row>
    <row r="50" spans="1:18" x14ac:dyDescent="0.3">
      <c r="A50" s="1" t="s">
        <v>54</v>
      </c>
      <c r="B50" t="s">
        <v>309</v>
      </c>
      <c r="C50" s="1">
        <v>1</v>
      </c>
      <c r="D50" s="1" t="s">
        <v>3</v>
      </c>
      <c r="E50" s="16">
        <f>IF(D50 = "","", INDEX(Categories!$A$2:$A$5, MATCH(D50,Categories!$B$2:$B$5, 0)))</f>
        <v>2</v>
      </c>
      <c r="F50" s="1" t="s">
        <v>8</v>
      </c>
      <c r="G50" s="6">
        <f>IF(F50 = "","",INDEX(Brands!$A$2:$A$5, MATCH(F50,Brands!$B$2:$B$5)))</f>
        <v>2</v>
      </c>
      <c r="H50" s="1">
        <v>742</v>
      </c>
      <c r="J50" s="1">
        <v>1237</v>
      </c>
      <c r="L50" s="1">
        <v>910</v>
      </c>
      <c r="M50" t="s">
        <v>396</v>
      </c>
      <c r="N50" s="1">
        <v>224</v>
      </c>
      <c r="O50" s="1">
        <v>236</v>
      </c>
      <c r="P50" s="1">
        <v>232</v>
      </c>
      <c r="Q50" s="1" t="s">
        <v>310</v>
      </c>
      <c r="R50" s="1" t="s">
        <v>454</v>
      </c>
    </row>
    <row r="51" spans="1:18" x14ac:dyDescent="0.3">
      <c r="A51" s="1" t="s">
        <v>55</v>
      </c>
      <c r="B51" t="s">
        <v>465</v>
      </c>
      <c r="C51" s="1">
        <v>1</v>
      </c>
      <c r="D51" s="1" t="s">
        <v>3</v>
      </c>
      <c r="E51" s="16">
        <f>IF(D51 = "","", INDEX(Categories!$A$2:$A$5, MATCH(D51,Categories!$B$2:$B$5, 0)))</f>
        <v>2</v>
      </c>
      <c r="F51" s="1" t="s">
        <v>8</v>
      </c>
      <c r="G51" s="6">
        <f>IF(F51 = "","",INDEX(Brands!$A$2:$A$5, MATCH(F51,Brands!$B$2:$B$5)))</f>
        <v>2</v>
      </c>
      <c r="H51" s="1">
        <v>1278</v>
      </c>
      <c r="J51" s="1">
        <v>1689</v>
      </c>
      <c r="L51" s="1">
        <v>451</v>
      </c>
      <c r="M51" t="s">
        <v>456</v>
      </c>
      <c r="N51" s="1">
        <v>153</v>
      </c>
      <c r="O51" s="1">
        <v>160</v>
      </c>
      <c r="P51" s="1">
        <v>179</v>
      </c>
      <c r="Q51" s="1" t="s">
        <v>311</v>
      </c>
      <c r="R51" s="1" t="s">
        <v>454</v>
      </c>
    </row>
    <row r="52" spans="1:18" x14ac:dyDescent="0.3">
      <c r="A52" s="1" t="s">
        <v>70</v>
      </c>
      <c r="B52" t="s">
        <v>20</v>
      </c>
      <c r="C52" s="1">
        <v>1</v>
      </c>
      <c r="D52" s="1" t="s">
        <v>3</v>
      </c>
      <c r="E52" s="16">
        <f>IF(D52 = "","", INDEX(Categories!$A$2:$A$5, MATCH(D52,Categories!$B$2:$B$5, 0)))</f>
        <v>2</v>
      </c>
      <c r="F52" s="1" t="s">
        <v>8</v>
      </c>
      <c r="G52" s="6">
        <f>IF(F52 = "","",INDEX(Brands!$A$2:$A$5, MATCH(F52,Brands!$B$2:$B$5)))</f>
        <v>2</v>
      </c>
      <c r="H52" s="1">
        <v>907</v>
      </c>
      <c r="J52" s="1">
        <v>1280</v>
      </c>
      <c r="L52" s="1">
        <v>200</v>
      </c>
      <c r="M52" t="s">
        <v>397</v>
      </c>
      <c r="N52" s="1">
        <v>220</v>
      </c>
      <c r="O52" s="1">
        <v>209</v>
      </c>
      <c r="P52" s="1">
        <v>219</v>
      </c>
      <c r="Q52" s="1" t="s">
        <v>312</v>
      </c>
      <c r="R52" s="1" t="s">
        <v>454</v>
      </c>
    </row>
    <row r="53" spans="1:18" x14ac:dyDescent="0.3">
      <c r="A53" s="1" t="s">
        <v>21</v>
      </c>
      <c r="B53" t="s">
        <v>56</v>
      </c>
      <c r="C53" s="1">
        <v>1</v>
      </c>
      <c r="D53" s="1" t="s">
        <v>3</v>
      </c>
      <c r="E53" s="16">
        <f>IF(D53 = "","", INDEX(Categories!$A$2:$A$5, MATCH(D53,Categories!$B$2:$B$5, 0)))</f>
        <v>2</v>
      </c>
      <c r="F53" s="1" t="s">
        <v>8</v>
      </c>
      <c r="G53" s="6">
        <f>IF(F53 = "","",INDEX(Brands!$A$2:$A$5, MATCH(F53,Brands!$B$2:$B$5)))</f>
        <v>2</v>
      </c>
      <c r="H53" s="1">
        <v>1800</v>
      </c>
      <c r="J53" s="1">
        <v>2000</v>
      </c>
      <c r="L53" s="1">
        <v>256</v>
      </c>
      <c r="M53" t="s">
        <v>398</v>
      </c>
      <c r="N53" s="1">
        <v>78</v>
      </c>
      <c r="O53" s="1">
        <v>84</v>
      </c>
      <c r="P53" s="1">
        <v>78</v>
      </c>
      <c r="Q53" s="1" t="s">
        <v>313</v>
      </c>
      <c r="R53" s="1" t="s">
        <v>454</v>
      </c>
    </row>
    <row r="54" spans="1:18" x14ac:dyDescent="0.3">
      <c r="A54" s="1" t="s">
        <v>64</v>
      </c>
      <c r="B54" t="s">
        <v>63</v>
      </c>
      <c r="C54" s="1">
        <v>1</v>
      </c>
      <c r="D54" s="1" t="s">
        <v>3</v>
      </c>
      <c r="E54" s="16">
        <f>IF(D54 = "","", INDEX(Categories!$A$2:$A$5, MATCH(D54,Categories!$B$2:$B$5, 0)))</f>
        <v>2</v>
      </c>
      <c r="F54" s="1" t="s">
        <v>8</v>
      </c>
      <c r="G54" s="6">
        <f>IF(F54 = "","",INDEX(Brands!$A$2:$A$5, MATCH(F54,Brands!$B$2:$B$5)))</f>
        <v>2</v>
      </c>
      <c r="H54" s="1">
        <v>701</v>
      </c>
      <c r="J54" s="1">
        <v>1113</v>
      </c>
      <c r="L54" s="1">
        <v>659</v>
      </c>
      <c r="M54" t="s">
        <v>399</v>
      </c>
      <c r="N54" s="1">
        <v>244</v>
      </c>
      <c r="O54" s="1">
        <v>235</v>
      </c>
      <c r="P54" s="1">
        <v>226</v>
      </c>
      <c r="Q54" s="1" t="s">
        <v>314</v>
      </c>
      <c r="R54" s="1" t="s">
        <v>454</v>
      </c>
    </row>
    <row r="55" spans="1:18" x14ac:dyDescent="0.3">
      <c r="A55" s="1" t="s">
        <v>58</v>
      </c>
      <c r="B55" t="s">
        <v>57</v>
      </c>
      <c r="C55" s="1">
        <v>1</v>
      </c>
      <c r="D55" s="1" t="s">
        <v>3</v>
      </c>
      <c r="E55" s="16">
        <f>IF(D55 = "","", INDEX(Categories!$A$2:$A$5, MATCH(D55,Categories!$B$2:$B$5, 0)))</f>
        <v>2</v>
      </c>
      <c r="F55" s="1" t="s">
        <v>8</v>
      </c>
      <c r="G55" s="6">
        <f>IF(F55 = "","",INDEX(Brands!$A$2:$A$5, MATCH(F55,Brands!$B$2:$B$5)))</f>
        <v>2</v>
      </c>
      <c r="H55" s="1">
        <v>536</v>
      </c>
      <c r="J55" s="1">
        <v>948</v>
      </c>
      <c r="L55" s="1">
        <v>542</v>
      </c>
      <c r="M55" t="s">
        <v>400</v>
      </c>
      <c r="N55" s="1">
        <v>69</v>
      </c>
      <c r="O55" s="1">
        <v>75</v>
      </c>
      <c r="P55" s="1">
        <v>65</v>
      </c>
      <c r="Q55" s="1" t="s">
        <v>315</v>
      </c>
      <c r="R55" s="1" t="s">
        <v>454</v>
      </c>
    </row>
    <row r="56" spans="1:18" x14ac:dyDescent="0.3">
      <c r="A56" s="1" t="s">
        <v>66</v>
      </c>
      <c r="B56" t="s">
        <v>65</v>
      </c>
      <c r="C56" s="1">
        <v>1</v>
      </c>
      <c r="D56" s="1" t="s">
        <v>3</v>
      </c>
      <c r="E56" s="16">
        <f>IF(D56 = "","", INDEX(Categories!$A$2:$A$5, MATCH(D56,Categories!$B$2:$B$5, 0)))</f>
        <v>2</v>
      </c>
      <c r="F56" s="1" t="s">
        <v>8</v>
      </c>
      <c r="G56" s="6">
        <f>IF(F56 = "","",INDEX(Brands!$A$2:$A$5, MATCH(F56,Brands!$B$2:$B$5)))</f>
        <v>2</v>
      </c>
      <c r="H56" s="1">
        <v>578</v>
      </c>
      <c r="J56" s="1">
        <v>619</v>
      </c>
      <c r="L56" s="1">
        <v>456</v>
      </c>
      <c r="M56" t="s">
        <v>401</v>
      </c>
      <c r="N56" s="1">
        <v>97</v>
      </c>
      <c r="O56" s="1">
        <v>82</v>
      </c>
      <c r="P56" s="1">
        <v>113</v>
      </c>
      <c r="Q56" s="1" t="s">
        <v>316</v>
      </c>
      <c r="R56" s="1" t="s">
        <v>454</v>
      </c>
    </row>
    <row r="57" spans="1:18" x14ac:dyDescent="0.3">
      <c r="A57" s="1" t="s">
        <v>53</v>
      </c>
      <c r="B57" t="s">
        <v>52</v>
      </c>
      <c r="C57" s="1">
        <v>1</v>
      </c>
      <c r="D57" s="1" t="s">
        <v>3</v>
      </c>
      <c r="E57" s="16">
        <f>IF(D57 = "","", INDEX(Categories!$A$2:$A$5, MATCH(D57,Categories!$B$2:$B$5, 0)))</f>
        <v>2</v>
      </c>
      <c r="F57" s="1" t="s">
        <v>8</v>
      </c>
      <c r="G57" s="6">
        <f>IF(F57 = "","",INDEX(Brands!$A$2:$A$5, MATCH(F57,Brands!$B$2:$B$5)))</f>
        <v>2</v>
      </c>
      <c r="H57" s="1">
        <v>681</v>
      </c>
      <c r="J57" s="1">
        <v>1402</v>
      </c>
      <c r="L57" s="1">
        <v>867</v>
      </c>
      <c r="M57" t="s">
        <v>402</v>
      </c>
      <c r="N57" s="1">
        <v>28</v>
      </c>
      <c r="O57" s="1">
        <v>28</v>
      </c>
      <c r="P57" s="1">
        <v>28</v>
      </c>
      <c r="Q57" s="1" t="s">
        <v>317</v>
      </c>
      <c r="R57" s="1" t="s">
        <v>454</v>
      </c>
    </row>
    <row r="58" spans="1:18" x14ac:dyDescent="0.3">
      <c r="A58" s="1" t="s">
        <v>61</v>
      </c>
      <c r="B58" t="s">
        <v>60</v>
      </c>
      <c r="C58" s="1">
        <v>1</v>
      </c>
      <c r="D58" s="1" t="s">
        <v>3</v>
      </c>
      <c r="E58" s="16">
        <f>IF(D58 = "","", INDEX(Categories!$A$2:$A$5, MATCH(D58,Categories!$B$2:$B$5, 0)))</f>
        <v>2</v>
      </c>
      <c r="F58" s="1" t="s">
        <v>8</v>
      </c>
      <c r="G58" s="6">
        <f>IF(F58 = "","",INDEX(Brands!$A$2:$A$5, MATCH(F58,Brands!$B$2:$B$5)))</f>
        <v>2</v>
      </c>
      <c r="H58" s="1">
        <v>660</v>
      </c>
      <c r="J58" s="1">
        <v>1134</v>
      </c>
      <c r="L58" s="1">
        <v>606</v>
      </c>
      <c r="M58" t="s">
        <v>403</v>
      </c>
      <c r="N58" s="1">
        <v>230</v>
      </c>
      <c r="O58" s="1">
        <v>213</v>
      </c>
      <c r="P58" s="1">
        <v>205</v>
      </c>
      <c r="Q58" s="1" t="s">
        <v>318</v>
      </c>
      <c r="R58" s="1" t="s">
        <v>454</v>
      </c>
    </row>
    <row r="59" spans="1:18" x14ac:dyDescent="0.3">
      <c r="A59" s="1" t="s">
        <v>62</v>
      </c>
      <c r="B59" t="s">
        <v>59</v>
      </c>
      <c r="C59" s="1">
        <v>1</v>
      </c>
      <c r="D59" s="1" t="s">
        <v>3</v>
      </c>
      <c r="E59" s="16">
        <f>IF(D59 = "","", INDEX(Categories!$A$2:$A$5, MATCH(D59,Categories!$B$2:$B$5, 0)))</f>
        <v>2</v>
      </c>
      <c r="F59" s="1" t="s">
        <v>8</v>
      </c>
      <c r="G59" s="6">
        <f>IF(F59 = "","",INDEX(Brands!$A$2:$A$5, MATCH(F59,Brands!$B$2:$B$5)))</f>
        <v>2</v>
      </c>
      <c r="H59" s="1">
        <v>578</v>
      </c>
      <c r="J59" s="1">
        <v>969</v>
      </c>
      <c r="L59" s="1">
        <v>598</v>
      </c>
      <c r="M59" t="s">
        <v>404</v>
      </c>
      <c r="N59" s="1">
        <v>246</v>
      </c>
      <c r="O59" s="1">
        <v>246</v>
      </c>
      <c r="P59" s="1">
        <v>246</v>
      </c>
      <c r="Q59" s="1" t="s">
        <v>319</v>
      </c>
      <c r="R59" s="1" t="s">
        <v>454</v>
      </c>
    </row>
    <row r="60" spans="1:18" x14ac:dyDescent="0.3">
      <c r="A60" s="1" t="s">
        <v>69</v>
      </c>
      <c r="B60" t="s">
        <v>68</v>
      </c>
      <c r="C60" s="1">
        <v>1</v>
      </c>
      <c r="D60" s="1" t="s">
        <v>3</v>
      </c>
      <c r="E60" s="16">
        <f>IF(D60 = "","", INDEX(Categories!$A$2:$A$5, MATCH(D60,Categories!$B$2:$B$5, 0)))</f>
        <v>2</v>
      </c>
      <c r="F60" s="1" t="s">
        <v>8</v>
      </c>
      <c r="G60" s="6">
        <f>IF(F60 = "","",INDEX(Brands!$A$2:$A$5, MATCH(F60,Brands!$B$2:$B$5)))</f>
        <v>2</v>
      </c>
      <c r="H60" s="1">
        <v>1237</v>
      </c>
      <c r="J60" s="1">
        <v>1278</v>
      </c>
      <c r="L60" s="1">
        <v>274</v>
      </c>
      <c r="M60" t="s">
        <v>405</v>
      </c>
      <c r="N60" s="1">
        <v>24</v>
      </c>
      <c r="O60" s="1">
        <v>24</v>
      </c>
      <c r="P60" s="1">
        <v>24</v>
      </c>
      <c r="Q60" s="1" t="s">
        <v>320</v>
      </c>
      <c r="R60" s="1" t="s">
        <v>454</v>
      </c>
    </row>
    <row r="61" spans="1:18" x14ac:dyDescent="0.3">
      <c r="A61" s="1" t="s">
        <v>72</v>
      </c>
      <c r="B61" t="s">
        <v>71</v>
      </c>
      <c r="C61" s="1">
        <v>1</v>
      </c>
      <c r="D61" s="1" t="s">
        <v>3</v>
      </c>
      <c r="E61" s="16">
        <f>IF(D61 = "","", INDEX(Categories!$A$2:$A$5, MATCH(D61,Categories!$B$2:$B$5, 0)))</f>
        <v>2</v>
      </c>
      <c r="F61" s="1" t="s">
        <v>8</v>
      </c>
      <c r="G61" s="6">
        <f>IF(F61 = "","",INDEX(Brands!$A$2:$A$5, MATCH(F61,Brands!$B$2:$B$5)))</f>
        <v>2</v>
      </c>
      <c r="H61" s="1">
        <v>1031</v>
      </c>
      <c r="J61" s="1">
        <v>1072</v>
      </c>
      <c r="L61" s="1">
        <v>985</v>
      </c>
      <c r="M61" t="s">
        <v>406</v>
      </c>
      <c r="N61" s="1">
        <v>186</v>
      </c>
      <c r="O61" s="1">
        <v>202</v>
      </c>
      <c r="P61" s="1">
        <v>216</v>
      </c>
      <c r="Q61" s="1" t="s">
        <v>321</v>
      </c>
      <c r="R61" s="1" t="s">
        <v>454</v>
      </c>
    </row>
    <row r="62" spans="1:18" x14ac:dyDescent="0.3">
      <c r="A62" s="1" t="s">
        <v>76</v>
      </c>
      <c r="B62" t="s">
        <v>75</v>
      </c>
      <c r="C62" s="1">
        <v>1</v>
      </c>
      <c r="D62" s="1" t="s">
        <v>3</v>
      </c>
      <c r="E62" s="16">
        <f>IF(D62 = "","", INDEX(Categories!$A$2:$A$5, MATCH(D62,Categories!$B$2:$B$5, 0)))</f>
        <v>2</v>
      </c>
      <c r="F62" s="1" t="s">
        <v>8</v>
      </c>
      <c r="G62" s="6">
        <f>IF(F62 = "","",INDEX(Brands!$A$2:$A$5, MATCH(F62,Brands!$B$2:$B$5)))</f>
        <v>2</v>
      </c>
      <c r="H62" s="1">
        <v>650</v>
      </c>
      <c r="J62" s="1">
        <v>699</v>
      </c>
      <c r="L62" s="1">
        <v>877</v>
      </c>
      <c r="M62" t="s">
        <v>407</v>
      </c>
      <c r="N62" s="1">
        <v>132</v>
      </c>
      <c r="O62" s="1">
        <v>131</v>
      </c>
      <c r="P62" s="1">
        <v>163</v>
      </c>
      <c r="Q62" s="1" t="s">
        <v>322</v>
      </c>
      <c r="R62" s="1" t="s">
        <v>454</v>
      </c>
    </row>
    <row r="63" spans="1:18" x14ac:dyDescent="0.3">
      <c r="A63" s="1" t="s">
        <v>74</v>
      </c>
      <c r="B63" t="s">
        <v>73</v>
      </c>
      <c r="C63" s="1">
        <v>1</v>
      </c>
      <c r="D63" s="1" t="s">
        <v>3</v>
      </c>
      <c r="E63" s="16">
        <f>IF(D63 = "","", INDEX(Categories!$A$2:$A$5, MATCH(D63,Categories!$B$2:$B$5, 0)))</f>
        <v>2</v>
      </c>
      <c r="F63" s="1" t="s">
        <v>8</v>
      </c>
      <c r="G63" s="6">
        <f>IF(F63 = "","",INDEX(Brands!$A$2:$A$5, MATCH(F63,Brands!$B$2:$B$5)))</f>
        <v>2</v>
      </c>
      <c r="H63" s="1">
        <v>456</v>
      </c>
      <c r="J63" s="1">
        <v>474</v>
      </c>
      <c r="L63" s="1">
        <v>0</v>
      </c>
      <c r="M63" t="s">
        <v>408</v>
      </c>
      <c r="N63" s="1">
        <v>164</v>
      </c>
      <c r="O63" s="1">
        <v>166</v>
      </c>
      <c r="P63" s="1">
        <v>138</v>
      </c>
      <c r="Q63" s="1" t="s">
        <v>323</v>
      </c>
      <c r="R63" s="1" t="s">
        <v>454</v>
      </c>
    </row>
    <row r="64" spans="1:18" ht="25.8" x14ac:dyDescent="0.5">
      <c r="A64" s="22" t="s">
        <v>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1:23" s="8" customFormat="1" x14ac:dyDescent="0.3">
      <c r="A65" s="6" t="s">
        <v>88</v>
      </c>
      <c r="B65" s="7" t="s">
        <v>83</v>
      </c>
      <c r="C65" s="6">
        <v>1</v>
      </c>
      <c r="D65" s="1" t="s">
        <v>5</v>
      </c>
      <c r="E65" s="16">
        <f>IF(D65 = "","", INDEX(Categories!$A$2:$A$5, MATCH(D65,Categories!$B$2:$B$5, 0)))</f>
        <v>3</v>
      </c>
      <c r="F65" s="1" t="s">
        <v>6</v>
      </c>
      <c r="G65" s="6">
        <f>IF(F65 = "","",INDEX(Brands!$A$2:$A$5, MATCH(F65,Brands!$B$2:$B$5)))</f>
        <v>1</v>
      </c>
      <c r="H65" s="6">
        <v>3627</v>
      </c>
      <c r="I65" s="6"/>
      <c r="J65" s="6">
        <v>3710</v>
      </c>
      <c r="K65" s="6"/>
      <c r="L65" s="6">
        <v>225</v>
      </c>
      <c r="M65" s="8" t="s">
        <v>409</v>
      </c>
      <c r="N65" s="6">
        <v>38</v>
      </c>
      <c r="O65" s="6">
        <v>37</v>
      </c>
      <c r="P65" s="6">
        <v>40</v>
      </c>
      <c r="Q65" s="6" t="s">
        <v>324</v>
      </c>
      <c r="R65" s="1" t="s">
        <v>454</v>
      </c>
    </row>
    <row r="66" spans="1:23" s="8" customFormat="1" x14ac:dyDescent="0.3">
      <c r="A66" s="6" t="s">
        <v>90</v>
      </c>
      <c r="B66" s="8" t="s">
        <v>85</v>
      </c>
      <c r="C66" s="6">
        <v>1</v>
      </c>
      <c r="D66" s="1" t="s">
        <v>5</v>
      </c>
      <c r="E66" s="16">
        <f>IF(D66 = "","", INDEX(Categories!$A$2:$A$5, MATCH(D66,Categories!$B$2:$B$5, 0)))</f>
        <v>3</v>
      </c>
      <c r="F66" s="1" t="s">
        <v>6</v>
      </c>
      <c r="G66" s="6">
        <f>IF(F66 = "","",INDEX(Brands!$A$2:$A$5, MATCH(F66,Brands!$B$2:$B$5)))</f>
        <v>1</v>
      </c>
      <c r="H66" s="6">
        <v>2556</v>
      </c>
      <c r="I66" s="6"/>
      <c r="J66" s="6">
        <v>2679</v>
      </c>
      <c r="K66" s="6"/>
      <c r="L66" s="6">
        <v>631</v>
      </c>
      <c r="M66" s="8" t="s">
        <v>410</v>
      </c>
      <c r="N66" s="6">
        <v>208</v>
      </c>
      <c r="O66" s="6">
        <v>208</v>
      </c>
      <c r="P66" s="6">
        <v>208</v>
      </c>
      <c r="Q66" s="6" t="s">
        <v>325</v>
      </c>
      <c r="R66" s="8" t="s">
        <v>454</v>
      </c>
    </row>
    <row r="67" spans="1:23" s="8" customFormat="1" x14ac:dyDescent="0.3">
      <c r="A67" s="6" t="s">
        <v>89</v>
      </c>
      <c r="B67" s="8" t="s">
        <v>84</v>
      </c>
      <c r="C67" s="6">
        <v>1</v>
      </c>
      <c r="D67" s="1" t="s">
        <v>5</v>
      </c>
      <c r="E67" s="16">
        <f>IF(D67 = "","", INDEX(Categories!$A$2:$A$5, MATCH(D67,Categories!$B$2:$B$5, 0)))</f>
        <v>3</v>
      </c>
      <c r="F67" s="1" t="s">
        <v>6</v>
      </c>
      <c r="G67" s="6">
        <f>IF(F67 = "","",INDEX(Brands!$A$2:$A$5, MATCH(F67,Brands!$B$2:$B$5)))</f>
        <v>1</v>
      </c>
      <c r="H67" s="6">
        <v>3174</v>
      </c>
      <c r="I67" s="6"/>
      <c r="J67" s="6">
        <v>3298</v>
      </c>
      <c r="K67" s="6"/>
      <c r="L67" s="6">
        <v>812</v>
      </c>
      <c r="M67" s="8" t="s">
        <v>411</v>
      </c>
      <c r="N67" s="6">
        <v>198</v>
      </c>
      <c r="O67" s="6">
        <v>198</v>
      </c>
      <c r="P67" s="6">
        <v>198</v>
      </c>
      <c r="Q67" s="6" t="s">
        <v>326</v>
      </c>
      <c r="R67" s="1" t="s">
        <v>454</v>
      </c>
    </row>
    <row r="68" spans="1:23" s="8" customFormat="1" x14ac:dyDescent="0.3">
      <c r="A68" s="6" t="s">
        <v>91</v>
      </c>
      <c r="B68" s="8" t="s">
        <v>81</v>
      </c>
      <c r="C68" s="6">
        <v>1</v>
      </c>
      <c r="D68" s="1" t="s">
        <v>5</v>
      </c>
      <c r="E68" s="16">
        <f>IF(D68 = "","", INDEX(Categories!$A$2:$A$5, MATCH(D68,Categories!$B$2:$B$5, 0)))</f>
        <v>3</v>
      </c>
      <c r="F68" s="1" t="s">
        <v>6</v>
      </c>
      <c r="G68" s="6">
        <f>IF(F68 = "","",INDEX(Brands!$A$2:$A$5, MATCH(F68,Brands!$B$2:$B$5)))</f>
        <v>1</v>
      </c>
      <c r="H68" s="6">
        <v>1525</v>
      </c>
      <c r="I68" s="6"/>
      <c r="J68" s="6">
        <v>1649</v>
      </c>
      <c r="K68" s="6"/>
      <c r="L68" s="6">
        <v>419</v>
      </c>
      <c r="M68" s="8" t="s">
        <v>412</v>
      </c>
      <c r="N68" s="6">
        <v>185</v>
      </c>
      <c r="O68" s="6">
        <v>185</v>
      </c>
      <c r="P68" s="6">
        <v>185</v>
      </c>
      <c r="Q68" s="6" t="s">
        <v>327</v>
      </c>
      <c r="R68" s="1" t="s">
        <v>454</v>
      </c>
      <c r="W68" s="9"/>
    </row>
    <row r="69" spans="1:23" s="8" customFormat="1" x14ac:dyDescent="0.3">
      <c r="A69" s="6" t="s">
        <v>92</v>
      </c>
      <c r="B69" s="8" t="s">
        <v>86</v>
      </c>
      <c r="C69" s="6">
        <v>1</v>
      </c>
      <c r="D69" s="1" t="s">
        <v>5</v>
      </c>
      <c r="E69" s="16">
        <f>IF(D69 = "","", INDEX(Categories!$A$2:$A$5, MATCH(D69,Categories!$B$2:$B$5, 0)))</f>
        <v>3</v>
      </c>
      <c r="F69" s="1" t="s">
        <v>6</v>
      </c>
      <c r="G69" s="6">
        <f>IF(F69 = "","",INDEX(Brands!$A$2:$A$5, MATCH(F69,Brands!$B$2:$B$5)))</f>
        <v>1</v>
      </c>
      <c r="H69" s="6">
        <v>2391</v>
      </c>
      <c r="I69" s="6"/>
      <c r="J69" s="6">
        <v>2721</v>
      </c>
      <c r="K69" s="6"/>
      <c r="L69" s="6">
        <v>25</v>
      </c>
      <c r="M69" s="8" t="s">
        <v>413</v>
      </c>
      <c r="N69" s="6">
        <v>173</v>
      </c>
      <c r="O69" s="6">
        <v>175</v>
      </c>
      <c r="P69" s="6">
        <v>179</v>
      </c>
      <c r="Q69" s="6" t="s">
        <v>328</v>
      </c>
      <c r="R69" s="1" t="s">
        <v>454</v>
      </c>
    </row>
    <row r="70" spans="1:23" s="8" customFormat="1" x14ac:dyDescent="0.3">
      <c r="A70" s="6" t="s">
        <v>93</v>
      </c>
      <c r="B70" t="s">
        <v>80</v>
      </c>
      <c r="C70" s="1">
        <v>1</v>
      </c>
      <c r="D70" s="1" t="s">
        <v>5</v>
      </c>
      <c r="E70" s="16">
        <f>IF(D70 = "","", INDEX(Categories!$A$2:$A$5, MATCH(D70,Categories!$B$2:$B$5, 0)))</f>
        <v>3</v>
      </c>
      <c r="F70" s="1" t="s">
        <v>6</v>
      </c>
      <c r="G70" s="6">
        <f>IF(F70 = "","",INDEX(Brands!$A$2:$A$5, MATCH(F70,Brands!$B$2:$B$5)))</f>
        <v>1</v>
      </c>
      <c r="H70" s="1">
        <v>1113</v>
      </c>
      <c r="I70" s="1"/>
      <c r="J70" s="1">
        <v>1484</v>
      </c>
      <c r="K70" s="1"/>
      <c r="L70" s="1">
        <v>125</v>
      </c>
      <c r="M70" s="8" t="s">
        <v>414</v>
      </c>
      <c r="N70" s="1">
        <v>231</v>
      </c>
      <c r="O70" s="1">
        <v>231</v>
      </c>
      <c r="P70" s="1">
        <v>231</v>
      </c>
      <c r="Q70" s="1" t="s">
        <v>329</v>
      </c>
      <c r="R70" s="1" t="s">
        <v>454</v>
      </c>
    </row>
    <row r="71" spans="1:23" x14ac:dyDescent="0.3">
      <c r="A71" s="1" t="s">
        <v>18</v>
      </c>
      <c r="B71" t="s">
        <v>79</v>
      </c>
      <c r="C71" s="1">
        <v>1</v>
      </c>
      <c r="D71" s="1" t="s">
        <v>5</v>
      </c>
      <c r="E71" s="16">
        <f>IF(D71 = "","", INDEX(Categories!$A$2:$A$5, MATCH(D71,Categories!$B$2:$B$5, 0)))</f>
        <v>3</v>
      </c>
      <c r="F71" s="1" t="s">
        <v>6</v>
      </c>
      <c r="G71" s="6">
        <f>IF(F71 = "","",INDEX(Brands!$A$2:$A$5, MATCH(F71,Brands!$B$2:$B$5)))</f>
        <v>1</v>
      </c>
      <c r="H71" s="1">
        <v>1010</v>
      </c>
      <c r="J71" s="1">
        <v>1320</v>
      </c>
      <c r="L71" s="1">
        <v>256</v>
      </c>
      <c r="M71" t="s">
        <v>415</v>
      </c>
      <c r="N71" s="1">
        <v>123</v>
      </c>
      <c r="O71" s="1">
        <v>129</v>
      </c>
      <c r="P71" s="1">
        <v>135</v>
      </c>
      <c r="Q71" s="1" t="s">
        <v>330</v>
      </c>
      <c r="R71" s="1" t="s">
        <v>454</v>
      </c>
    </row>
    <row r="72" spans="1:23" x14ac:dyDescent="0.3">
      <c r="A72" s="1" t="s">
        <v>94</v>
      </c>
      <c r="B72" t="s">
        <v>82</v>
      </c>
      <c r="C72" s="1">
        <v>1</v>
      </c>
      <c r="D72" s="1" t="s">
        <v>5</v>
      </c>
      <c r="E72" s="16">
        <f>IF(D72 = "","", INDEX(Categories!$A$2:$A$5, MATCH(D72,Categories!$B$2:$B$5, 0)))</f>
        <v>3</v>
      </c>
      <c r="F72" s="1" t="s">
        <v>6</v>
      </c>
      <c r="G72" s="6">
        <f>IF(F72 = "","",INDEX(Brands!$A$2:$A$5, MATCH(F72,Brands!$B$2:$B$5)))</f>
        <v>1</v>
      </c>
      <c r="H72" s="1">
        <v>2762</v>
      </c>
      <c r="J72" s="1">
        <v>3833</v>
      </c>
      <c r="L72" s="1">
        <v>510</v>
      </c>
      <c r="M72" t="s">
        <v>416</v>
      </c>
      <c r="N72" s="1">
        <v>176</v>
      </c>
      <c r="O72" s="1">
        <v>178</v>
      </c>
      <c r="P72" s="1">
        <v>179</v>
      </c>
      <c r="Q72" s="1" t="s">
        <v>331</v>
      </c>
      <c r="R72" s="1" t="s">
        <v>454</v>
      </c>
    </row>
    <row r="73" spans="1:23" x14ac:dyDescent="0.3">
      <c r="A73" s="1" t="s">
        <v>95</v>
      </c>
      <c r="B73" t="s">
        <v>87</v>
      </c>
      <c r="C73" s="1">
        <v>1</v>
      </c>
      <c r="D73" s="1" t="s">
        <v>5</v>
      </c>
      <c r="E73" s="16">
        <f>IF(D73 = "","", INDEX(Categories!$A$2:$A$5, MATCH(D73,Categories!$B$2:$B$5, 0)))</f>
        <v>3</v>
      </c>
      <c r="F73" s="1" t="s">
        <v>6</v>
      </c>
      <c r="G73" s="6">
        <f>IF(F73 = "","",INDEX(Brands!$A$2:$A$5, MATCH(F73,Brands!$B$2:$B$5)))</f>
        <v>1</v>
      </c>
      <c r="H73" s="1">
        <v>1732</v>
      </c>
      <c r="J73" s="1">
        <v>2721</v>
      </c>
      <c r="L73" s="1">
        <v>464</v>
      </c>
      <c r="M73" t="s">
        <v>417</v>
      </c>
      <c r="N73" s="1">
        <v>124</v>
      </c>
      <c r="O73" s="1">
        <v>124</v>
      </c>
      <c r="P73" s="1">
        <v>126</v>
      </c>
      <c r="Q73" s="1" t="s">
        <v>332</v>
      </c>
      <c r="R73" s="1" t="s">
        <v>454</v>
      </c>
    </row>
    <row r="74" spans="1:23" x14ac:dyDescent="0.3">
      <c r="A74" s="1" t="s">
        <v>96</v>
      </c>
      <c r="B74" t="s">
        <v>458</v>
      </c>
      <c r="C74" s="1">
        <v>1</v>
      </c>
      <c r="D74" s="1" t="s">
        <v>5</v>
      </c>
      <c r="E74" s="16">
        <f>IF(D74 = "","", INDEX(Categories!$A$2:$A$5, MATCH(D74,Categories!$B$2:$B$5, 0)))</f>
        <v>3</v>
      </c>
      <c r="F74" s="1" t="s">
        <v>6</v>
      </c>
      <c r="G74" s="6">
        <f>IF(F74 = "","",INDEX(Brands!$A$2:$A$5, MATCH(F74,Brands!$B$2:$B$5)))</f>
        <v>1</v>
      </c>
      <c r="H74" s="1">
        <v>1113</v>
      </c>
      <c r="J74" s="1">
        <v>1484</v>
      </c>
      <c r="L74" s="1">
        <v>589</v>
      </c>
      <c r="M74" t="s">
        <v>455</v>
      </c>
      <c r="N74" s="1">
        <v>228</v>
      </c>
      <c r="O74" s="1">
        <v>230</v>
      </c>
      <c r="P74" s="1">
        <v>231</v>
      </c>
      <c r="Q74" s="1" t="s">
        <v>333</v>
      </c>
      <c r="R74" s="1" t="s">
        <v>454</v>
      </c>
    </row>
    <row r="75" spans="1:23" ht="14.4" customHeight="1" x14ac:dyDescent="0.3">
      <c r="A75" s="1" t="s">
        <v>78</v>
      </c>
      <c r="B75" t="s">
        <v>77</v>
      </c>
      <c r="C75" s="1">
        <v>1</v>
      </c>
      <c r="D75" s="1" t="s">
        <v>5</v>
      </c>
      <c r="E75" s="16">
        <f>IF(D75 = "","", INDEX(Categories!$A$2:$A$5, MATCH(D75,Categories!$B$2:$B$5, 0)))</f>
        <v>3</v>
      </c>
      <c r="F75" s="1" t="s">
        <v>6</v>
      </c>
      <c r="G75" s="6">
        <f>IF(F75 = "","",INDEX(Brands!$A$2:$A$5, MATCH(F75,Brands!$B$2:$B$5)))</f>
        <v>1</v>
      </c>
      <c r="H75" s="1">
        <v>680</v>
      </c>
      <c r="J75" s="1">
        <v>948</v>
      </c>
      <c r="L75" s="1">
        <v>981</v>
      </c>
      <c r="M75" t="s">
        <v>418</v>
      </c>
      <c r="N75" s="1">
        <v>172</v>
      </c>
      <c r="O75" s="1">
        <v>129</v>
      </c>
      <c r="P75" s="1">
        <v>104</v>
      </c>
      <c r="Q75" s="1" t="s">
        <v>334</v>
      </c>
      <c r="R75" s="1" t="s">
        <v>454</v>
      </c>
    </row>
    <row r="76" spans="1:23" ht="14.4" customHeight="1" x14ac:dyDescent="0.3">
      <c r="E76" s="16" t="str">
        <f>IF(D76 = "","", INDEX(Categories!$A$2:$A$5, MATCH(D76,Categories!$B$2:$B$5, 0)))</f>
        <v/>
      </c>
      <c r="G76" s="6" t="str">
        <f>IF(F76 = "","",INDEX(Brands!$A$2:$A$5, MATCH(F76,Brands!$B$2:$B$5)))</f>
        <v/>
      </c>
      <c r="M76"/>
    </row>
    <row r="77" spans="1:23" ht="14.4" customHeight="1" x14ac:dyDescent="0.3">
      <c r="A77" s="1" t="s">
        <v>207</v>
      </c>
      <c r="B77" t="s">
        <v>202</v>
      </c>
      <c r="C77" s="1">
        <v>1</v>
      </c>
      <c r="D77" s="1" t="s">
        <v>5</v>
      </c>
      <c r="E77" s="16">
        <f>IF(D77 = "","", INDEX(Categories!$A$2:$A$5, MATCH(D77,Categories!$B$2:$B$5, 0)))</f>
        <v>3</v>
      </c>
      <c r="F77" s="1" t="s">
        <v>192</v>
      </c>
      <c r="G77" s="6">
        <f>IF(F77 = "","",INDEX(Brands!$A$2:$A$5, MATCH(F77,Brands!$B$2:$B$5)))</f>
        <v>1</v>
      </c>
      <c r="H77" s="1">
        <v>1643</v>
      </c>
      <c r="J77" s="1">
        <v>2094</v>
      </c>
      <c r="L77" s="1">
        <v>760</v>
      </c>
      <c r="M77" t="s">
        <v>419</v>
      </c>
      <c r="N77" s="1">
        <v>72</v>
      </c>
      <c r="O77" s="1">
        <v>72</v>
      </c>
      <c r="P77" s="1">
        <v>72</v>
      </c>
      <c r="Q77" s="1" t="s">
        <v>335</v>
      </c>
      <c r="R77" s="1" t="s">
        <v>454</v>
      </c>
    </row>
    <row r="78" spans="1:23" ht="14.4" customHeight="1" x14ac:dyDescent="0.3">
      <c r="A78" s="1" t="s">
        <v>211</v>
      </c>
      <c r="B78" t="s">
        <v>195</v>
      </c>
      <c r="C78" s="1">
        <v>1</v>
      </c>
      <c r="D78" s="1" t="s">
        <v>5</v>
      </c>
      <c r="E78" s="16">
        <f>IF(D78 = "","", INDEX(Categories!$A$2:$A$5, MATCH(D78,Categories!$B$2:$B$5, 0)))</f>
        <v>3</v>
      </c>
      <c r="F78" s="1" t="s">
        <v>192</v>
      </c>
      <c r="G78" s="6">
        <f>IF(F78 = "","",INDEX(Brands!$A$2:$A$5, MATCH(F78,Brands!$B$2:$B$5)))</f>
        <v>1</v>
      </c>
      <c r="H78" s="1">
        <v>1355</v>
      </c>
      <c r="J78" s="1">
        <v>1766</v>
      </c>
      <c r="L78" s="1">
        <v>831</v>
      </c>
      <c r="M78" t="s">
        <v>420</v>
      </c>
      <c r="N78" s="1">
        <v>87</v>
      </c>
      <c r="O78" s="1">
        <v>87</v>
      </c>
      <c r="P78" s="1">
        <v>91</v>
      </c>
      <c r="Q78" s="1" t="s">
        <v>336</v>
      </c>
      <c r="R78" s="1" t="s">
        <v>454</v>
      </c>
    </row>
    <row r="79" spans="1:23" ht="14.4" customHeight="1" x14ac:dyDescent="0.3">
      <c r="A79" s="1" t="s">
        <v>208</v>
      </c>
      <c r="B79" t="s">
        <v>205</v>
      </c>
      <c r="C79" s="1">
        <v>1</v>
      </c>
      <c r="D79" s="1" t="s">
        <v>5</v>
      </c>
      <c r="E79" s="16">
        <f>IF(D79 = "","", INDEX(Categories!$A$2:$A$5, MATCH(D79,Categories!$B$2:$B$5, 0)))</f>
        <v>3</v>
      </c>
      <c r="F79" s="1" t="s">
        <v>192</v>
      </c>
      <c r="G79" s="6">
        <f>IF(F79 = "","",INDEX(Brands!$A$2:$A$5, MATCH(F79,Brands!$B$2:$B$5)))</f>
        <v>1</v>
      </c>
      <c r="H79" s="1">
        <v>1560</v>
      </c>
      <c r="J79" s="1">
        <v>1930</v>
      </c>
      <c r="L79" s="1">
        <v>458</v>
      </c>
      <c r="M79" t="s">
        <v>421</v>
      </c>
      <c r="N79" s="1">
        <v>82</v>
      </c>
      <c r="O79" s="1">
        <v>81</v>
      </c>
      <c r="P79" s="1">
        <v>86</v>
      </c>
      <c r="Q79" s="1" t="s">
        <v>337</v>
      </c>
      <c r="R79" s="1" t="s">
        <v>454</v>
      </c>
    </row>
    <row r="80" spans="1:23" ht="14.4" customHeight="1" x14ac:dyDescent="0.3">
      <c r="A80" s="1" t="s">
        <v>214</v>
      </c>
      <c r="B80" t="s">
        <v>200</v>
      </c>
      <c r="C80" s="1">
        <v>1</v>
      </c>
      <c r="D80" s="1" t="s">
        <v>5</v>
      </c>
      <c r="E80" s="16">
        <f>IF(D80 = "","", INDEX(Categories!$A$2:$A$5, MATCH(D80,Categories!$B$2:$B$5, 0)))</f>
        <v>3</v>
      </c>
      <c r="F80" s="1" t="s">
        <v>192</v>
      </c>
      <c r="G80" s="6">
        <f>IF(F80 = "","",INDEX(Brands!$A$2:$A$5, MATCH(F80,Brands!$B$2:$B$5)))</f>
        <v>1</v>
      </c>
      <c r="H80" s="1">
        <v>1601</v>
      </c>
      <c r="J80" s="1">
        <v>2053</v>
      </c>
      <c r="L80" s="1">
        <v>939</v>
      </c>
      <c r="M80" t="s">
        <v>422</v>
      </c>
      <c r="N80" s="1">
        <v>69</v>
      </c>
      <c r="O80" s="1">
        <v>69</v>
      </c>
      <c r="P80" s="1">
        <v>69</v>
      </c>
      <c r="Q80" s="1" t="s">
        <v>338</v>
      </c>
      <c r="R80" s="1" t="s">
        <v>454</v>
      </c>
    </row>
    <row r="81" spans="1:18" x14ac:dyDescent="0.3">
      <c r="A81" s="1" t="s">
        <v>215</v>
      </c>
      <c r="B81" t="s">
        <v>194</v>
      </c>
      <c r="C81" s="1">
        <v>1</v>
      </c>
      <c r="D81" s="1" t="s">
        <v>5</v>
      </c>
      <c r="E81" s="16">
        <f>IF(D81 = "","", INDEX(Categories!$A$2:$A$5, MATCH(D81,Categories!$B$2:$B$5, 0)))</f>
        <v>3</v>
      </c>
      <c r="F81" s="1" t="s">
        <v>192</v>
      </c>
      <c r="G81" s="6">
        <f>IF(F81 = "","",INDEX(Brands!$A$2:$A$5, MATCH(F81,Brands!$B$2:$B$5)))</f>
        <v>1</v>
      </c>
      <c r="H81" s="1">
        <v>1437</v>
      </c>
      <c r="J81" s="1">
        <v>1807</v>
      </c>
      <c r="L81" s="1">
        <v>274</v>
      </c>
      <c r="M81" t="s">
        <v>423</v>
      </c>
      <c r="N81" s="1">
        <v>198</v>
      </c>
      <c r="O81" s="1">
        <v>196</v>
      </c>
      <c r="P81" s="1">
        <v>208</v>
      </c>
      <c r="Q81" s="1" t="s">
        <v>339</v>
      </c>
      <c r="R81" s="1" t="s">
        <v>454</v>
      </c>
    </row>
    <row r="82" spans="1:18" x14ac:dyDescent="0.3">
      <c r="A82" s="1" t="s">
        <v>216</v>
      </c>
      <c r="B82" t="s">
        <v>199</v>
      </c>
      <c r="C82" s="1">
        <v>1</v>
      </c>
      <c r="D82" s="1" t="s">
        <v>5</v>
      </c>
      <c r="E82" s="16">
        <f>IF(D82 = "","", INDEX(Categories!$A$2:$A$5, MATCH(D82,Categories!$B$2:$B$5, 0)))</f>
        <v>3</v>
      </c>
      <c r="F82" s="1" t="s">
        <v>192</v>
      </c>
      <c r="G82" s="6">
        <f>IF(F82 = "","",INDEX(Brands!$A$2:$A$5, MATCH(F82,Brands!$B$2:$B$5)))</f>
        <v>1</v>
      </c>
      <c r="H82" s="1">
        <v>1396</v>
      </c>
      <c r="J82" s="1">
        <v>1766</v>
      </c>
      <c r="L82" s="1">
        <v>47</v>
      </c>
      <c r="M82" t="s">
        <v>424</v>
      </c>
      <c r="N82" s="1">
        <v>61</v>
      </c>
      <c r="O82" s="1">
        <v>60</v>
      </c>
      <c r="P82" s="1">
        <v>65</v>
      </c>
      <c r="Q82" s="1" t="s">
        <v>340</v>
      </c>
      <c r="R82" s="1" t="s">
        <v>454</v>
      </c>
    </row>
    <row r="83" spans="1:18" x14ac:dyDescent="0.3">
      <c r="A83" s="1" t="s">
        <v>209</v>
      </c>
      <c r="B83" t="s">
        <v>204</v>
      </c>
      <c r="C83" s="1">
        <v>1</v>
      </c>
      <c r="D83" s="1" t="s">
        <v>5</v>
      </c>
      <c r="E83" s="16">
        <f>IF(D83 = "","", INDEX(Categories!$A$2:$A$5, MATCH(D83,Categories!$B$2:$B$5, 0)))</f>
        <v>3</v>
      </c>
      <c r="F83" s="1" t="s">
        <v>192</v>
      </c>
      <c r="G83" s="6">
        <f>IF(F83 = "","",INDEX(Brands!$A$2:$A$5, MATCH(F83,Brands!$B$2:$B$5)))</f>
        <v>1</v>
      </c>
      <c r="H83" s="1">
        <v>1253</v>
      </c>
      <c r="J83" s="1">
        <v>1601</v>
      </c>
      <c r="L83" s="1">
        <v>358</v>
      </c>
      <c r="M83" t="s">
        <v>425</v>
      </c>
      <c r="N83" s="1">
        <v>74</v>
      </c>
      <c r="O83" s="1">
        <v>74</v>
      </c>
      <c r="P83" s="1">
        <v>74</v>
      </c>
      <c r="Q83" s="1" t="s">
        <v>341</v>
      </c>
      <c r="R83" s="1" t="s">
        <v>454</v>
      </c>
    </row>
    <row r="84" spans="1:18" x14ac:dyDescent="0.3">
      <c r="A84" s="1" t="s">
        <v>217</v>
      </c>
      <c r="B84" t="s">
        <v>193</v>
      </c>
      <c r="C84" s="1">
        <v>1</v>
      </c>
      <c r="D84" s="1" t="s">
        <v>5</v>
      </c>
      <c r="E84" s="16">
        <f>IF(D84 = "","", INDEX(Categories!$A$2:$A$5, MATCH(D84,Categories!$B$2:$B$5, 0)))</f>
        <v>3</v>
      </c>
      <c r="F84" s="1" t="s">
        <v>192</v>
      </c>
      <c r="G84" s="6">
        <f>IF(F84 = "","",INDEX(Brands!$A$2:$A$5, MATCH(F84,Brands!$B$2:$B$5)))</f>
        <v>1</v>
      </c>
      <c r="H84" s="1">
        <v>1232</v>
      </c>
      <c r="J84" s="1">
        <v>1601</v>
      </c>
      <c r="L84" s="1">
        <v>917</v>
      </c>
      <c r="M84" t="s">
        <v>426</v>
      </c>
      <c r="N84" s="1">
        <v>194</v>
      </c>
      <c r="O84" s="1">
        <v>192</v>
      </c>
      <c r="P84" s="1">
        <v>205</v>
      </c>
      <c r="Q84" s="1" t="s">
        <v>342</v>
      </c>
      <c r="R84" s="1" t="s">
        <v>454</v>
      </c>
    </row>
    <row r="85" spans="1:18" x14ac:dyDescent="0.3">
      <c r="A85" s="1" t="s">
        <v>210</v>
      </c>
      <c r="B85" t="s">
        <v>203</v>
      </c>
      <c r="C85" s="1">
        <v>1</v>
      </c>
      <c r="D85" s="1" t="s">
        <v>5</v>
      </c>
      <c r="E85" s="16">
        <f>IF(D85 = "","", INDEX(Categories!$A$2:$A$5, MATCH(D85,Categories!$B$2:$B$5, 0)))</f>
        <v>3</v>
      </c>
      <c r="F85" s="1" t="s">
        <v>192</v>
      </c>
      <c r="G85" s="6">
        <f>IF(F85 = "","",INDEX(Brands!$A$2:$A$5, MATCH(F85,Brands!$B$2:$B$5)))</f>
        <v>1</v>
      </c>
      <c r="H85" s="1">
        <v>986</v>
      </c>
      <c r="J85" s="1">
        <v>1335</v>
      </c>
      <c r="L85" s="1">
        <v>16</v>
      </c>
      <c r="M85" t="s">
        <v>427</v>
      </c>
      <c r="N85" s="1">
        <v>106</v>
      </c>
      <c r="O85" s="1">
        <v>106</v>
      </c>
      <c r="P85" s="1">
        <v>106</v>
      </c>
      <c r="Q85" s="1" t="s">
        <v>343</v>
      </c>
      <c r="R85" s="1" t="s">
        <v>454</v>
      </c>
    </row>
    <row r="86" spans="1:18" x14ac:dyDescent="0.3">
      <c r="A86" s="1" t="s">
        <v>212</v>
      </c>
      <c r="B86" t="s">
        <v>206</v>
      </c>
      <c r="C86" s="1">
        <v>1</v>
      </c>
      <c r="D86" s="1" t="s">
        <v>5</v>
      </c>
      <c r="E86" s="16">
        <f>IF(D86 = "","", INDEX(Categories!$A$2:$A$5, MATCH(D86,Categories!$B$2:$B$5, 0)))</f>
        <v>3</v>
      </c>
      <c r="F86" s="1" t="s">
        <v>192</v>
      </c>
      <c r="G86" s="6">
        <f>IF(F86 = "","",INDEX(Brands!$A$2:$A$5, MATCH(F86,Brands!$B$2:$B$5)))</f>
        <v>1</v>
      </c>
      <c r="H86" s="1">
        <v>863</v>
      </c>
      <c r="J86" s="1">
        <v>1191</v>
      </c>
      <c r="L86" s="1">
        <v>687</v>
      </c>
      <c r="M86" t="s">
        <v>428</v>
      </c>
      <c r="N86" s="1">
        <v>236</v>
      </c>
      <c r="O86" s="1">
        <v>236</v>
      </c>
      <c r="P86" s="1">
        <v>236</v>
      </c>
      <c r="Q86" s="1" t="s">
        <v>344</v>
      </c>
      <c r="R86" s="1" t="s">
        <v>454</v>
      </c>
    </row>
    <row r="87" spans="1:18" ht="14.4" customHeight="1" x14ac:dyDescent="0.3">
      <c r="A87" s="1" t="s">
        <v>213</v>
      </c>
      <c r="B87" t="s">
        <v>201</v>
      </c>
      <c r="C87" s="1">
        <v>1</v>
      </c>
      <c r="D87" s="1" t="s">
        <v>5</v>
      </c>
      <c r="E87" s="16">
        <f>IF(D87 = "","", INDEX(Categories!$A$2:$A$5, MATCH(D87,Categories!$B$2:$B$5, 0)))</f>
        <v>3</v>
      </c>
      <c r="F87" s="1" t="s">
        <v>192</v>
      </c>
      <c r="G87" s="6">
        <f>IF(F87 = "","",INDEX(Brands!$A$2:$A$5, MATCH(F87,Brands!$B$2:$B$5)))</f>
        <v>1</v>
      </c>
      <c r="H87" s="1">
        <v>780</v>
      </c>
      <c r="J87" s="1">
        <v>1068</v>
      </c>
      <c r="L87" s="1">
        <v>571</v>
      </c>
      <c r="M87" t="s">
        <v>429</v>
      </c>
      <c r="N87" s="1">
        <v>68</v>
      </c>
      <c r="O87" s="1">
        <v>68</v>
      </c>
      <c r="P87" s="1">
        <v>68</v>
      </c>
      <c r="Q87" s="1" t="s">
        <v>345</v>
      </c>
      <c r="R87" s="1" t="s">
        <v>454</v>
      </c>
    </row>
    <row r="88" spans="1:18" x14ac:dyDescent="0.3">
      <c r="A88" s="1" t="s">
        <v>218</v>
      </c>
      <c r="B88" t="s">
        <v>198</v>
      </c>
      <c r="C88" s="1">
        <v>1</v>
      </c>
      <c r="D88" s="1" t="s">
        <v>5</v>
      </c>
      <c r="E88" s="16">
        <f>IF(D88 = "","", INDEX(Categories!$A$2:$A$5, MATCH(D88,Categories!$B$2:$B$5, 0)))</f>
        <v>3</v>
      </c>
      <c r="F88" s="1" t="s">
        <v>192</v>
      </c>
      <c r="G88" s="6">
        <f>IF(F88 = "","",INDEX(Brands!$A$2:$A$5, MATCH(F88,Brands!$B$2:$B$5)))</f>
        <v>1</v>
      </c>
      <c r="H88" s="1">
        <v>1027</v>
      </c>
      <c r="J88" s="1">
        <v>1696</v>
      </c>
      <c r="L88" s="1">
        <v>620</v>
      </c>
      <c r="M88" t="s">
        <v>430</v>
      </c>
      <c r="N88" s="1">
        <v>64</v>
      </c>
      <c r="O88" s="1">
        <v>64</v>
      </c>
      <c r="P88" s="1">
        <v>64</v>
      </c>
      <c r="Q88" s="1" t="s">
        <v>346</v>
      </c>
      <c r="R88" s="1" t="s">
        <v>454</v>
      </c>
    </row>
    <row r="89" spans="1:18" x14ac:dyDescent="0.3">
      <c r="A89" s="1" t="s">
        <v>197</v>
      </c>
      <c r="B89" t="s">
        <v>196</v>
      </c>
      <c r="C89" s="1">
        <v>1</v>
      </c>
      <c r="D89" s="1" t="s">
        <v>5</v>
      </c>
      <c r="E89" s="16">
        <f>IF(D89 = "","", INDEX(Categories!$A$2:$A$5, MATCH(D89,Categories!$B$2:$B$5, 0)))</f>
        <v>3</v>
      </c>
      <c r="F89" s="1" t="s">
        <v>192</v>
      </c>
      <c r="G89" s="6">
        <f>IF(F89 = "","",INDEX(Brands!$A$2:$A$5, MATCH(F89,Brands!$B$2:$B$5)))</f>
        <v>1</v>
      </c>
      <c r="H89" s="1">
        <v>1191</v>
      </c>
      <c r="J89" s="1">
        <v>1766</v>
      </c>
      <c r="L89" s="1">
        <v>177</v>
      </c>
      <c r="M89" t="s">
        <v>431</v>
      </c>
      <c r="N89" s="1">
        <v>64</v>
      </c>
      <c r="O89" s="1">
        <v>64</v>
      </c>
      <c r="P89" s="1">
        <v>64</v>
      </c>
      <c r="Q89" s="1" t="s">
        <v>346</v>
      </c>
      <c r="R89" s="1" t="s">
        <v>454</v>
      </c>
    </row>
    <row r="90" spans="1:18" ht="25.8" x14ac:dyDescent="0.5">
      <c r="A90" s="22" t="s">
        <v>2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</row>
    <row r="91" spans="1:18" x14ac:dyDescent="0.3">
      <c r="A91" s="1" t="s">
        <v>118</v>
      </c>
      <c r="B91" t="s">
        <v>113</v>
      </c>
      <c r="C91" s="1">
        <v>1</v>
      </c>
      <c r="D91" s="1" t="s">
        <v>2</v>
      </c>
      <c r="E91" s="16">
        <f>IF(D91 = "","", INDEX(Categories!$A$2:$A$5, MATCH(D91,Categories!$B$2:$B$5, 0)))</f>
        <v>1</v>
      </c>
      <c r="F91" s="1" t="s">
        <v>8</v>
      </c>
      <c r="G91" s="6">
        <f>IF(F91 = "","",INDEX(Brands!$A$2:$A$5, MATCH(F91,Brands!$B$2:$B$5)))</f>
        <v>2</v>
      </c>
      <c r="H91" s="1">
        <v>289</v>
      </c>
      <c r="J91" s="1">
        <v>392</v>
      </c>
      <c r="L91" s="1">
        <v>471</v>
      </c>
      <c r="M91" t="s">
        <v>432</v>
      </c>
      <c r="N91" s="1">
        <v>59</v>
      </c>
      <c r="O91" s="1">
        <v>59</v>
      </c>
      <c r="P91" s="1">
        <v>59</v>
      </c>
      <c r="Q91" s="1" t="s">
        <v>347</v>
      </c>
      <c r="R91" s="1" t="s">
        <v>454</v>
      </c>
    </row>
    <row r="92" spans="1:18" x14ac:dyDescent="0.3">
      <c r="A92" s="1" t="s">
        <v>22</v>
      </c>
      <c r="B92" t="s">
        <v>111</v>
      </c>
      <c r="C92" s="1">
        <v>1</v>
      </c>
      <c r="D92" s="1" t="s">
        <v>2</v>
      </c>
      <c r="E92" s="16">
        <f>IF(D92 = "","", INDEX(Categories!$A$2:$A$5, MATCH(D92,Categories!$B$2:$B$5, 0)))</f>
        <v>1</v>
      </c>
      <c r="F92" s="1" t="s">
        <v>8</v>
      </c>
      <c r="G92" s="6">
        <f>IF(F92 = "","",INDEX(Brands!$A$2:$A$5, MATCH(F92,Brands!$B$2:$B$5)))</f>
        <v>2</v>
      </c>
      <c r="H92" s="1">
        <v>165</v>
      </c>
      <c r="J92" s="1">
        <v>310</v>
      </c>
      <c r="L92" s="1">
        <v>389</v>
      </c>
      <c r="M92" t="s">
        <v>433</v>
      </c>
      <c r="N92" s="1">
        <v>204</v>
      </c>
      <c r="O92" s="1">
        <v>208</v>
      </c>
      <c r="P92" s="1">
        <v>211</v>
      </c>
      <c r="Q92" s="1" t="s">
        <v>348</v>
      </c>
      <c r="R92" s="1" t="s">
        <v>454</v>
      </c>
    </row>
    <row r="93" spans="1:18" s="8" customFormat="1" x14ac:dyDescent="0.3">
      <c r="A93" s="6" t="s">
        <v>119</v>
      </c>
      <c r="B93" s="8" t="s">
        <v>117</v>
      </c>
      <c r="C93" s="6">
        <v>1</v>
      </c>
      <c r="D93" s="6" t="s">
        <v>2</v>
      </c>
      <c r="E93" s="16">
        <f>IF(D93 = "","", INDEX(Categories!$A$2:$A$5, MATCH(D93,Categories!$B$2:$B$5, 0)))</f>
        <v>1</v>
      </c>
      <c r="F93" s="6" t="s">
        <v>8</v>
      </c>
      <c r="G93" s="6">
        <f>IF(F93 = "","",INDEX(Brands!$A$2:$A$5, MATCH(F93,Brands!$B$2:$B$5)))</f>
        <v>2</v>
      </c>
      <c r="H93" s="6">
        <v>268</v>
      </c>
      <c r="I93" s="6"/>
      <c r="J93" s="6">
        <v>371</v>
      </c>
      <c r="K93" s="6"/>
      <c r="L93" s="6">
        <v>427</v>
      </c>
      <c r="M93" s="8" t="s">
        <v>434</v>
      </c>
      <c r="N93" s="6">
        <v>187</v>
      </c>
      <c r="O93" s="6">
        <v>191</v>
      </c>
      <c r="P93" s="6">
        <v>194</v>
      </c>
      <c r="Q93" s="6" t="s">
        <v>349</v>
      </c>
      <c r="R93" s="1" t="s">
        <v>454</v>
      </c>
    </row>
    <row r="94" spans="1:18" x14ac:dyDescent="0.3">
      <c r="A94" s="1" t="s">
        <v>120</v>
      </c>
      <c r="B94" t="s">
        <v>112</v>
      </c>
      <c r="C94" s="1">
        <v>1</v>
      </c>
      <c r="D94" s="1" t="s">
        <v>2</v>
      </c>
      <c r="E94" s="16">
        <f>IF(D94 = "","", INDEX(Categories!$A$2:$A$5, MATCH(D94,Categories!$B$2:$B$5, 0)))</f>
        <v>1</v>
      </c>
      <c r="F94" s="1" t="s">
        <v>8</v>
      </c>
      <c r="G94" s="6">
        <f>IF(F94 = "","",INDEX(Brands!$A$2:$A$5, MATCH(F94,Brands!$B$2:$B$5)))</f>
        <v>2</v>
      </c>
      <c r="H94" s="1">
        <v>205</v>
      </c>
      <c r="J94" s="1">
        <v>289</v>
      </c>
      <c r="L94" s="1">
        <v>335</v>
      </c>
      <c r="M94" t="s">
        <v>435</v>
      </c>
      <c r="N94" s="1">
        <v>67</v>
      </c>
      <c r="O94" s="1">
        <v>69</v>
      </c>
      <c r="P94" s="1">
        <v>81</v>
      </c>
      <c r="Q94" s="1" t="s">
        <v>350</v>
      </c>
      <c r="R94" s="1" t="s">
        <v>454</v>
      </c>
    </row>
    <row r="95" spans="1:18" x14ac:dyDescent="0.3">
      <c r="A95" s="1" t="s">
        <v>121</v>
      </c>
      <c r="B95" t="s">
        <v>114</v>
      </c>
      <c r="C95" s="1">
        <v>1</v>
      </c>
      <c r="D95" s="1" t="s">
        <v>2</v>
      </c>
      <c r="E95" s="16">
        <f>IF(D95 = "","", INDEX(Categories!$A$2:$A$5, MATCH(D95,Categories!$B$2:$B$5, 0)))</f>
        <v>1</v>
      </c>
      <c r="F95" s="1" t="s">
        <v>8</v>
      </c>
      <c r="G95" s="6">
        <f>IF(F95 = "","",INDEX(Brands!$A$2:$A$5, MATCH(F95,Brands!$B$2:$B$5)))</f>
        <v>2</v>
      </c>
      <c r="H95" s="1">
        <v>310</v>
      </c>
      <c r="J95" s="1">
        <v>495</v>
      </c>
      <c r="L95" s="1">
        <v>505</v>
      </c>
      <c r="M95" t="s">
        <v>436</v>
      </c>
      <c r="N95" s="1">
        <v>38</v>
      </c>
      <c r="O95" s="1">
        <v>38</v>
      </c>
      <c r="P95" s="1">
        <v>38</v>
      </c>
      <c r="Q95" s="1" t="s">
        <v>351</v>
      </c>
      <c r="R95" s="1" t="s">
        <v>454</v>
      </c>
    </row>
    <row r="96" spans="1:18" x14ac:dyDescent="0.3">
      <c r="A96" s="1" t="s">
        <v>122</v>
      </c>
      <c r="B96" t="s">
        <v>115</v>
      </c>
      <c r="C96" s="1">
        <v>1</v>
      </c>
      <c r="D96" s="1" t="s">
        <v>2</v>
      </c>
      <c r="E96" s="16">
        <f>IF(D96 = "","", INDEX(Categories!$A$2:$A$5, MATCH(D96,Categories!$B$2:$B$5, 0)))</f>
        <v>1</v>
      </c>
      <c r="F96" s="1" t="s">
        <v>8</v>
      </c>
      <c r="G96" s="6">
        <f>IF(F96 = "","",INDEX(Brands!$A$2:$A$5, MATCH(F96,Brands!$B$2:$B$5)))</f>
        <v>2</v>
      </c>
      <c r="H96" s="1">
        <v>227</v>
      </c>
      <c r="J96" s="1">
        <v>268</v>
      </c>
      <c r="L96" s="1">
        <v>573</v>
      </c>
      <c r="M96" t="s">
        <v>437</v>
      </c>
      <c r="N96" s="1">
        <v>122</v>
      </c>
      <c r="O96" s="1">
        <v>135</v>
      </c>
      <c r="P96" s="1">
        <v>151</v>
      </c>
      <c r="Q96" s="1" t="s">
        <v>352</v>
      </c>
      <c r="R96" s="1" t="s">
        <v>454</v>
      </c>
    </row>
    <row r="97" spans="1:18" x14ac:dyDescent="0.3">
      <c r="A97" s="1" t="s">
        <v>123</v>
      </c>
      <c r="B97" t="s">
        <v>116</v>
      </c>
      <c r="C97" s="1">
        <v>1</v>
      </c>
      <c r="D97" s="1" t="s">
        <v>2</v>
      </c>
      <c r="E97" s="16">
        <f>IF(D97 = "","", INDEX(Categories!$A$2:$A$5, MATCH(D97,Categories!$B$2:$B$5, 0)))</f>
        <v>1</v>
      </c>
      <c r="F97" s="1" t="s">
        <v>8</v>
      </c>
      <c r="G97" s="6">
        <f>IF(F97 = "","",INDEX(Brands!$A$2:$A$5, MATCH(F97,Brands!$B$2:$B$5)))</f>
        <v>2</v>
      </c>
      <c r="H97" s="1">
        <v>289</v>
      </c>
      <c r="J97" s="1">
        <v>330</v>
      </c>
      <c r="L97" s="1">
        <v>735</v>
      </c>
      <c r="M97" t="s">
        <v>438</v>
      </c>
      <c r="N97" s="1">
        <v>95</v>
      </c>
      <c r="O97" s="1">
        <v>96</v>
      </c>
      <c r="P97" s="1">
        <v>100</v>
      </c>
      <c r="Q97" s="1" t="s">
        <v>353</v>
      </c>
      <c r="R97" s="1" t="s">
        <v>454</v>
      </c>
    </row>
    <row r="98" spans="1:18" x14ac:dyDescent="0.3">
      <c r="E98" s="16" t="str">
        <f>IF(D98 = "","", INDEX(Categories!$A$2:$A$5, MATCH(D98,Categories!$B$2:$B$5, 0)))</f>
        <v/>
      </c>
      <c r="G98" s="6" t="str">
        <f>IF(F98 = "","",INDEX(Brands!$A$2:$A$5, MATCH(F98,Brands!$B$2:$B$5)))</f>
        <v/>
      </c>
      <c r="M98"/>
    </row>
    <row r="99" spans="1:18" x14ac:dyDescent="0.3">
      <c r="A99" s="1" t="s">
        <v>124</v>
      </c>
      <c r="B99" t="s">
        <v>97</v>
      </c>
      <c r="C99" s="1">
        <v>1</v>
      </c>
      <c r="D99" s="1" t="s">
        <v>2</v>
      </c>
      <c r="E99" s="16">
        <f>IF(D99 = "","", INDEX(Categories!$A$2:$A$5, MATCH(D99,Categories!$B$2:$B$5, 0)))</f>
        <v>1</v>
      </c>
      <c r="F99" s="1" t="s">
        <v>6</v>
      </c>
      <c r="G99" s="6">
        <f>IF(F99 = "","",INDEX(Brands!$A$2:$A$5, MATCH(F99,Brands!$B$2:$B$5)))</f>
        <v>1</v>
      </c>
      <c r="H99" s="1">
        <v>413</v>
      </c>
      <c r="J99" s="1">
        <v>503</v>
      </c>
      <c r="L99" s="1">
        <v>621</v>
      </c>
      <c r="M99" t="s">
        <v>439</v>
      </c>
      <c r="N99" s="1">
        <v>211</v>
      </c>
      <c r="O99" s="1">
        <v>201</v>
      </c>
      <c r="P99" s="1">
        <v>192</v>
      </c>
      <c r="Q99" s="1" t="s">
        <v>354</v>
      </c>
      <c r="R99" s="1" t="s">
        <v>454</v>
      </c>
    </row>
    <row r="100" spans="1:18" x14ac:dyDescent="0.3">
      <c r="A100" s="1" t="s">
        <v>125</v>
      </c>
      <c r="B100" t="s">
        <v>98</v>
      </c>
      <c r="C100" s="1">
        <v>1</v>
      </c>
      <c r="D100" s="1" t="s">
        <v>2</v>
      </c>
      <c r="E100" s="16">
        <f>IF(D100 = "","", INDEX(Categories!$A$2:$A$5, MATCH(D100,Categories!$B$2:$B$5, 0)))</f>
        <v>1</v>
      </c>
      <c r="F100" s="1" t="s">
        <v>6</v>
      </c>
      <c r="G100" s="6">
        <f>IF(F100 = "","",INDEX(Brands!$A$2:$A$5, MATCH(F100,Brands!$B$2:$B$5)))</f>
        <v>1</v>
      </c>
      <c r="H100" s="1">
        <v>371</v>
      </c>
      <c r="J100" s="1">
        <v>433</v>
      </c>
      <c r="L100" s="1">
        <v>154</v>
      </c>
      <c r="M100" t="s">
        <v>440</v>
      </c>
      <c r="N100" s="1">
        <v>55</v>
      </c>
      <c r="O100" s="1">
        <v>56</v>
      </c>
      <c r="P100" s="1">
        <v>64</v>
      </c>
      <c r="Q100" s="1" t="s">
        <v>355</v>
      </c>
      <c r="R100" s="1" t="s">
        <v>454</v>
      </c>
    </row>
    <row r="101" spans="1:18" x14ac:dyDescent="0.3">
      <c r="A101" s="1" t="s">
        <v>126</v>
      </c>
      <c r="B101" t="s">
        <v>100</v>
      </c>
      <c r="C101" s="1">
        <v>1</v>
      </c>
      <c r="D101" s="1" t="s">
        <v>2</v>
      </c>
      <c r="E101" s="16">
        <f>IF(D101 = "","", INDEX(Categories!$A$2:$A$5, MATCH(D101,Categories!$B$2:$B$5, 0)))</f>
        <v>1</v>
      </c>
      <c r="F101" s="1" t="s">
        <v>6</v>
      </c>
      <c r="G101" s="6">
        <f>IF(F101 = "","",INDEX(Brands!$A$2:$A$5, MATCH(F101,Brands!$B$2:$B$5)))</f>
        <v>1</v>
      </c>
      <c r="H101" s="1">
        <v>330</v>
      </c>
      <c r="J101" s="1">
        <v>536</v>
      </c>
      <c r="L101" s="1">
        <v>908</v>
      </c>
      <c r="M101" t="s">
        <v>441</v>
      </c>
      <c r="N101" s="1">
        <v>233</v>
      </c>
      <c r="O101" s="1">
        <v>232</v>
      </c>
      <c r="P101" s="1">
        <v>230</v>
      </c>
      <c r="Q101" s="1" t="s">
        <v>356</v>
      </c>
      <c r="R101" s="1" t="s">
        <v>454</v>
      </c>
    </row>
    <row r="102" spans="1:18" x14ac:dyDescent="0.3">
      <c r="A102" s="1" t="s">
        <v>127</v>
      </c>
      <c r="B102" t="s">
        <v>99</v>
      </c>
      <c r="C102" s="1">
        <v>1</v>
      </c>
      <c r="D102" s="1" t="s">
        <v>2</v>
      </c>
      <c r="E102" s="16">
        <f>IF(D102 = "","", INDEX(Categories!$A$2:$A$5, MATCH(D102,Categories!$B$2:$B$5, 0)))</f>
        <v>1</v>
      </c>
      <c r="F102" s="1" t="s">
        <v>6</v>
      </c>
      <c r="G102" s="6">
        <f>IF(F102 = "","",INDEX(Brands!$A$2:$A$5, MATCH(F102,Brands!$B$2:$B$5)))</f>
        <v>1</v>
      </c>
      <c r="H102" s="1">
        <v>330</v>
      </c>
      <c r="J102" s="1">
        <v>495</v>
      </c>
      <c r="L102" s="1">
        <v>962</v>
      </c>
      <c r="M102" t="s">
        <v>442</v>
      </c>
      <c r="N102" s="1">
        <v>214</v>
      </c>
      <c r="O102" s="1">
        <v>48</v>
      </c>
      <c r="P102" s="1">
        <v>72</v>
      </c>
      <c r="Q102" s="1" t="s">
        <v>357</v>
      </c>
      <c r="R102" s="1" t="s">
        <v>454</v>
      </c>
    </row>
    <row r="103" spans="1:18" x14ac:dyDescent="0.3">
      <c r="A103" s="1" t="s">
        <v>128</v>
      </c>
      <c r="B103" t="s">
        <v>102</v>
      </c>
      <c r="C103" s="1">
        <v>1</v>
      </c>
      <c r="D103" s="1" t="s">
        <v>2</v>
      </c>
      <c r="E103" s="16">
        <f>IF(D103 = "","", INDEX(Categories!$A$2:$A$5, MATCH(D103,Categories!$B$2:$B$5, 0)))</f>
        <v>1</v>
      </c>
      <c r="F103" s="1" t="s">
        <v>6</v>
      </c>
      <c r="G103" s="6">
        <f>IF(F103 = "","",INDEX(Brands!$A$2:$A$5, MATCH(F103,Brands!$B$2:$B$5)))</f>
        <v>1</v>
      </c>
      <c r="H103" s="1">
        <v>310</v>
      </c>
      <c r="J103" s="1">
        <v>536</v>
      </c>
      <c r="L103" s="1">
        <v>680</v>
      </c>
      <c r="M103" t="s">
        <v>443</v>
      </c>
      <c r="N103" s="1">
        <v>54</v>
      </c>
      <c r="O103" s="1">
        <v>55</v>
      </c>
      <c r="P103" s="1">
        <v>62</v>
      </c>
      <c r="Q103" s="1" t="s">
        <v>358</v>
      </c>
      <c r="R103" s="1" t="s">
        <v>454</v>
      </c>
    </row>
    <row r="104" spans="1:18" x14ac:dyDescent="0.3">
      <c r="A104" s="1" t="s">
        <v>129</v>
      </c>
      <c r="B104" t="s">
        <v>101</v>
      </c>
      <c r="C104" s="1">
        <v>1</v>
      </c>
      <c r="D104" s="1" t="s">
        <v>2</v>
      </c>
      <c r="E104" s="16">
        <f>IF(D104 = "","", INDEX(Categories!$A$2:$A$5, MATCH(D104,Categories!$B$2:$B$5, 0)))</f>
        <v>1</v>
      </c>
      <c r="F104" s="1" t="s">
        <v>6</v>
      </c>
      <c r="G104" s="6">
        <f>IF(F104 = "","",INDEX(Brands!$A$2:$A$5, MATCH(F104,Brands!$B$2:$B$5)))</f>
        <v>1</v>
      </c>
      <c r="H104" s="1">
        <v>289</v>
      </c>
      <c r="J104" s="1">
        <v>495</v>
      </c>
      <c r="L104" s="1">
        <v>43</v>
      </c>
      <c r="M104" t="s">
        <v>444</v>
      </c>
      <c r="N104" s="1">
        <v>217</v>
      </c>
      <c r="O104" s="1">
        <v>207</v>
      </c>
      <c r="P104" s="1">
        <v>198</v>
      </c>
      <c r="Q104" s="1" t="s">
        <v>359</v>
      </c>
      <c r="R104" s="1" t="s">
        <v>454</v>
      </c>
    </row>
    <row r="105" spans="1:18" x14ac:dyDescent="0.3">
      <c r="A105" s="1" t="s">
        <v>130</v>
      </c>
      <c r="B105" t="s">
        <v>103</v>
      </c>
      <c r="C105" s="1">
        <v>1</v>
      </c>
      <c r="D105" s="1" t="s">
        <v>2</v>
      </c>
      <c r="E105" s="16">
        <f>IF(D105 = "","", INDEX(Categories!$A$2:$A$5, MATCH(D105,Categories!$B$2:$B$5, 0)))</f>
        <v>1</v>
      </c>
      <c r="F105" s="1" t="s">
        <v>6</v>
      </c>
      <c r="G105" s="6">
        <f>IF(F105 = "","",INDEX(Brands!$A$2:$A$5, MATCH(F105,Brands!$B$2:$B$5)))</f>
        <v>1</v>
      </c>
      <c r="H105" s="1">
        <v>218</v>
      </c>
      <c r="J105" s="1">
        <v>297</v>
      </c>
      <c r="L105" s="1">
        <v>781</v>
      </c>
      <c r="M105" t="s">
        <v>445</v>
      </c>
      <c r="N105" s="1">
        <v>232</v>
      </c>
      <c r="O105" s="1">
        <v>231</v>
      </c>
      <c r="P105" s="1">
        <v>229</v>
      </c>
      <c r="Q105" s="1" t="s">
        <v>360</v>
      </c>
      <c r="R105" s="1" t="s">
        <v>454</v>
      </c>
    </row>
    <row r="106" spans="1:18" x14ac:dyDescent="0.3">
      <c r="A106" s="1" t="s">
        <v>131</v>
      </c>
      <c r="B106" t="s">
        <v>104</v>
      </c>
      <c r="C106" s="1">
        <v>1</v>
      </c>
      <c r="D106" s="1" t="s">
        <v>2</v>
      </c>
      <c r="E106" s="16">
        <f>IF(D106 = "","", INDEX(Categories!$A$2:$A$5, MATCH(D106,Categories!$B$2:$B$5, 0)))</f>
        <v>1</v>
      </c>
      <c r="F106" s="1" t="s">
        <v>6</v>
      </c>
      <c r="G106" s="6">
        <f>IF(F106 = "","",INDEX(Brands!$A$2:$A$5, MATCH(F106,Brands!$B$2:$B$5)))</f>
        <v>1</v>
      </c>
      <c r="H106" s="1">
        <v>207</v>
      </c>
      <c r="J106" s="1">
        <v>264</v>
      </c>
      <c r="L106" s="1">
        <v>97</v>
      </c>
      <c r="M106" t="s">
        <v>446</v>
      </c>
      <c r="N106" s="1">
        <v>55</v>
      </c>
      <c r="O106" s="1">
        <v>56</v>
      </c>
      <c r="P106" s="1">
        <v>61</v>
      </c>
      <c r="Q106" s="1" t="s">
        <v>361</v>
      </c>
      <c r="R106" s="1" t="s">
        <v>454</v>
      </c>
    </row>
    <row r="107" spans="1:18" x14ac:dyDescent="0.3">
      <c r="A107" s="1" t="s">
        <v>132</v>
      </c>
      <c r="B107" t="s">
        <v>107</v>
      </c>
      <c r="C107" s="1">
        <v>1</v>
      </c>
      <c r="D107" s="1" t="s">
        <v>2</v>
      </c>
      <c r="E107" s="16">
        <f>IF(D107 = "","", INDEX(Categories!$A$2:$A$5, MATCH(D107,Categories!$B$2:$B$5, 0)))</f>
        <v>1</v>
      </c>
      <c r="F107" s="1" t="s">
        <v>6</v>
      </c>
      <c r="G107" s="6">
        <f>IF(F107 = "","",INDEX(Brands!$A$2:$A$5, MATCH(F107,Brands!$B$2:$B$5)))</f>
        <v>1</v>
      </c>
      <c r="H107" s="1">
        <v>310</v>
      </c>
      <c r="J107" s="1">
        <v>413</v>
      </c>
      <c r="L107" s="1">
        <v>583</v>
      </c>
      <c r="M107" t="s">
        <v>447</v>
      </c>
      <c r="N107" s="1">
        <v>50</v>
      </c>
      <c r="O107" s="1">
        <v>51</v>
      </c>
      <c r="P107" s="1">
        <v>56</v>
      </c>
      <c r="Q107" s="1" t="s">
        <v>362</v>
      </c>
      <c r="R107" s="1" t="s">
        <v>454</v>
      </c>
    </row>
    <row r="108" spans="1:18" x14ac:dyDescent="0.3">
      <c r="A108" s="1" t="s">
        <v>133</v>
      </c>
      <c r="B108" t="s">
        <v>105</v>
      </c>
      <c r="C108" s="1">
        <v>1</v>
      </c>
      <c r="D108" s="1" t="s">
        <v>2</v>
      </c>
      <c r="E108" s="16">
        <f>IF(D108 = "","", INDEX(Categories!$A$2:$A$5, MATCH(D108,Categories!$B$2:$B$5, 0)))</f>
        <v>1</v>
      </c>
      <c r="F108" s="1" t="s">
        <v>6</v>
      </c>
      <c r="G108" s="6">
        <f>IF(F108 = "","",INDEX(Brands!$A$2:$A$5, MATCH(F108,Brands!$B$2:$B$5)))</f>
        <v>1</v>
      </c>
      <c r="H108" s="1">
        <v>218</v>
      </c>
      <c r="J108" s="1">
        <v>351</v>
      </c>
      <c r="L108" s="1">
        <v>199</v>
      </c>
      <c r="M108" t="s">
        <v>448</v>
      </c>
      <c r="N108" s="1">
        <v>226</v>
      </c>
      <c r="O108" s="1">
        <v>225</v>
      </c>
      <c r="P108" s="1">
        <v>223</v>
      </c>
      <c r="Q108" s="1" t="s">
        <v>363</v>
      </c>
      <c r="R108" s="1" t="s">
        <v>454</v>
      </c>
    </row>
    <row r="109" spans="1:18" x14ac:dyDescent="0.3">
      <c r="A109" s="1" t="s">
        <v>134</v>
      </c>
      <c r="B109" t="s">
        <v>108</v>
      </c>
      <c r="C109" s="1">
        <v>1</v>
      </c>
      <c r="D109" s="1" t="s">
        <v>2</v>
      </c>
      <c r="E109" s="16">
        <f>IF(D109 = "","", INDEX(Categories!$A$2:$A$5, MATCH(D109,Categories!$B$2:$B$5, 0)))</f>
        <v>1</v>
      </c>
      <c r="F109" s="1" t="s">
        <v>6</v>
      </c>
      <c r="G109" s="6">
        <f>IF(F109 = "","",INDEX(Brands!$A$2:$A$5, MATCH(F109,Brands!$B$2:$B$5)))</f>
        <v>1</v>
      </c>
      <c r="H109" s="1">
        <v>268</v>
      </c>
      <c r="J109" s="1">
        <v>371</v>
      </c>
      <c r="L109" s="1">
        <v>919</v>
      </c>
      <c r="M109" t="s">
        <v>449</v>
      </c>
      <c r="N109" s="1">
        <v>229</v>
      </c>
      <c r="O109" s="1">
        <v>228</v>
      </c>
      <c r="P109" s="1">
        <v>226</v>
      </c>
      <c r="Q109" s="1" t="s">
        <v>364</v>
      </c>
      <c r="R109" s="1" t="s">
        <v>454</v>
      </c>
    </row>
    <row r="110" spans="1:18" x14ac:dyDescent="0.3">
      <c r="A110" s="1" t="s">
        <v>135</v>
      </c>
      <c r="B110" t="s">
        <v>106</v>
      </c>
      <c r="C110" s="1">
        <v>1</v>
      </c>
      <c r="D110" s="1" t="s">
        <v>2</v>
      </c>
      <c r="E110" s="16">
        <f>IF(D110 = "","", INDEX(Categories!$A$2:$A$5, MATCH(D110,Categories!$B$2:$B$5, 0)))</f>
        <v>1</v>
      </c>
      <c r="F110" s="1" t="s">
        <v>6</v>
      </c>
      <c r="G110" s="6">
        <f>IF(F110 = "","",INDEX(Brands!$A$2:$A$5, MATCH(F110,Brands!$B$2:$B$5)))</f>
        <v>1</v>
      </c>
      <c r="H110" s="1">
        <v>165</v>
      </c>
      <c r="J110" s="1">
        <v>310</v>
      </c>
      <c r="L110" s="1">
        <v>366</v>
      </c>
      <c r="M110" t="s">
        <v>450</v>
      </c>
      <c r="N110" s="1">
        <v>50</v>
      </c>
      <c r="O110" s="1">
        <v>51</v>
      </c>
      <c r="P110" s="1">
        <v>55</v>
      </c>
      <c r="Q110" s="1" t="s">
        <v>365</v>
      </c>
      <c r="R110" s="1" t="s">
        <v>454</v>
      </c>
    </row>
    <row r="111" spans="1:18" x14ac:dyDescent="0.3">
      <c r="A111" s="1" t="s">
        <v>136</v>
      </c>
      <c r="B111" t="s">
        <v>109</v>
      </c>
      <c r="C111" s="1">
        <v>1</v>
      </c>
      <c r="D111" s="1" t="s">
        <v>2</v>
      </c>
      <c r="E111" s="16">
        <f>IF(D111 = "","", INDEX(Categories!$A$2:$A$5, MATCH(D111,Categories!$B$2:$B$5, 0)))</f>
        <v>1</v>
      </c>
      <c r="F111" s="1" t="s">
        <v>6</v>
      </c>
      <c r="G111" s="6">
        <f>IF(F111 = "","",INDEX(Brands!$A$2:$A$5, MATCH(F111,Brands!$B$2:$B$5)))</f>
        <v>1</v>
      </c>
      <c r="H111" s="1">
        <v>825</v>
      </c>
      <c r="J111" s="1">
        <v>907</v>
      </c>
      <c r="L111" s="1">
        <v>169</v>
      </c>
      <c r="M111" t="s">
        <v>451</v>
      </c>
      <c r="N111" s="1">
        <v>34</v>
      </c>
      <c r="O111" s="1">
        <v>51</v>
      </c>
      <c r="P111" s="1">
        <v>67</v>
      </c>
      <c r="Q111" s="1" t="s">
        <v>366</v>
      </c>
      <c r="R111" s="1" t="s">
        <v>454</v>
      </c>
    </row>
    <row r="112" spans="1:18" x14ac:dyDescent="0.3">
      <c r="A112" s="1" t="s">
        <v>137</v>
      </c>
      <c r="B112" t="s">
        <v>110</v>
      </c>
      <c r="C112" s="1">
        <v>1</v>
      </c>
      <c r="D112" s="1" t="s">
        <v>2</v>
      </c>
      <c r="E112" s="16">
        <f>IF(D112 = "","", INDEX(Categories!$A$2:$A$5, MATCH(D112,Categories!$B$2:$B$5, 0)))</f>
        <v>1</v>
      </c>
      <c r="F112" s="1" t="s">
        <v>6</v>
      </c>
      <c r="G112" s="6">
        <f>IF(F112 = "","",INDEX(Brands!$A$2:$A$5, MATCH(F112,Brands!$B$2:$B$5)))</f>
        <v>1</v>
      </c>
      <c r="H112" s="1">
        <v>701</v>
      </c>
      <c r="J112" s="1">
        <v>990</v>
      </c>
      <c r="L112" s="1">
        <v>229</v>
      </c>
      <c r="M112" t="s">
        <v>452</v>
      </c>
      <c r="N112" s="1">
        <v>212</v>
      </c>
      <c r="O112" s="1">
        <v>175</v>
      </c>
      <c r="P112" s="1">
        <v>47</v>
      </c>
      <c r="Q112" s="1" t="s">
        <v>367</v>
      </c>
      <c r="R112" s="1" t="s">
        <v>454</v>
      </c>
    </row>
  </sheetData>
  <mergeCells count="17">
    <mergeCell ref="S1:S2"/>
    <mergeCell ref="T1:T2"/>
    <mergeCell ref="R1:R2"/>
    <mergeCell ref="A90:R90"/>
    <mergeCell ref="A64:R64"/>
    <mergeCell ref="A33:R33"/>
    <mergeCell ref="A3:R3"/>
    <mergeCell ref="A1:A2"/>
    <mergeCell ref="B1:B2"/>
    <mergeCell ref="C1:C2"/>
    <mergeCell ref="D1:E1"/>
    <mergeCell ref="H1:I2"/>
    <mergeCell ref="J1:K2"/>
    <mergeCell ref="L1:L2"/>
    <mergeCell ref="M1:M2"/>
    <mergeCell ref="N1:Q1"/>
    <mergeCell ref="F1:G1"/>
  </mergeCells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6">
        <x14:dataValidation type="list" allowBlank="1" showInputMessage="1" showErrorMessage="1" xr:uid="{9EE385BC-AF01-4F5C-B359-E835CF8BE9C0}">
          <x14:formula1>
            <xm:f>Brands!$B$2:$B$999</xm:f>
          </x14:formula1>
          <xm:sqref>F4:F6</xm:sqref>
        </x14:dataValidation>
        <x14:dataValidation type="list" allowBlank="1" showInputMessage="1" showErrorMessage="1" xr:uid="{8FEFA096-D69D-4501-9F53-072B832F8FE9}">
          <x14:formula1>
            <xm:f>Categories!$B$2:$B$5</xm:f>
          </x14:formula1>
          <xm:sqref>D55:D63 D73 D65:D71 D34:D53 D75:D89 D4:D32 D91:D1048576</xm:sqref>
        </x14:dataValidation>
        <x14:dataValidation type="list" allowBlank="1" showInputMessage="1" showErrorMessage="1" xr:uid="{4835ED4D-F764-47C8-A2D0-55A5CA4F05AE}">
          <x14:formula1>
            <xm:f>Brands!$B$2:$B1010</xm:f>
          </x14:formula1>
          <xm:sqref>F104:F112</xm:sqref>
        </x14:dataValidation>
        <x14:dataValidation type="list" allowBlank="1" showInputMessage="1" showErrorMessage="1" xr:uid="{73E88B8A-9260-4A3E-B1CD-1EEDA4E1A3EE}">
          <x14:formula1>
            <xm:f>Brands!$B$2:$B972</xm:f>
          </x14:formula1>
          <xm:sqref>F113:F1048576</xm:sqref>
        </x14:dataValidation>
        <x14:dataValidation type="list" allowBlank="1" showInputMessage="1" showErrorMessage="1" xr:uid="{6E5EE4E6-CD46-4C1A-A55D-60F52A700C73}">
          <x14:formula1>
            <xm:f>Brands!$B$2:$B1004</xm:f>
          </x14:formula1>
          <xm:sqref>F97:F103</xm:sqref>
        </x14:dataValidation>
        <x14:dataValidation type="list" allowBlank="1" showInputMessage="1" showErrorMessage="1" xr:uid="{61EBD761-F033-4EFC-875C-31A05A1C2CD7}">
          <x14:formula1>
            <xm:f>Brands!$B$2:$B1004</xm:f>
          </x14:formula1>
          <xm:sqref>F96</xm:sqref>
        </x14:dataValidation>
        <x14:dataValidation type="list" allowBlank="1" showInputMessage="1" showErrorMessage="1" xr:uid="{5ACC5183-71CF-4A11-9DA6-945B69352F5C}">
          <x14:formula1>
            <xm:f>Brands!$B$2:$B1003</xm:f>
          </x14:formula1>
          <xm:sqref>F94:F95</xm:sqref>
        </x14:dataValidation>
        <x14:dataValidation type="list" allowBlank="1" showInputMessage="1" showErrorMessage="1" xr:uid="{9D150066-FFD6-4F4B-B209-674D9C202295}">
          <x14:formula1>
            <xm:f>Brands!$B$2:$B1002</xm:f>
          </x14:formula1>
          <xm:sqref>F92:F93</xm:sqref>
        </x14:dataValidation>
        <x14:dataValidation type="list" allowBlank="1" showInputMessage="1" showErrorMessage="1" xr:uid="{0D389055-3FE4-4505-AAC3-4388AD172A61}">
          <x14:formula1>
            <xm:f>Brands!$B$2:$B1002</xm:f>
          </x14:formula1>
          <xm:sqref>F91</xm:sqref>
        </x14:dataValidation>
        <x14:dataValidation type="list" allowBlank="1" showInputMessage="1" showErrorMessage="1" xr:uid="{4E8D6A16-B955-4A90-BFED-4DBA94BD1B51}">
          <x14:formula1>
            <xm:f>Brands!$B$2:$B1020</xm:f>
          </x14:formula1>
          <xm:sqref>F89</xm:sqref>
        </x14:dataValidation>
        <x14:dataValidation type="list" allowBlank="1" showInputMessage="1" showErrorMessage="1" xr:uid="{1586A4FA-2D7C-4B16-AB2E-8781EC35CDAA}">
          <x14:formula1>
            <xm:f>Brands!$B$2:$B1021</xm:f>
          </x14:formula1>
          <xm:sqref>F88</xm:sqref>
        </x14:dataValidation>
        <x14:dataValidation type="list" allowBlank="1" showInputMessage="1" showErrorMessage="1" xr:uid="{6F195F4F-DD9C-481A-97A0-9AE0F7044A33}">
          <x14:formula1>
            <xm:f>Brands!$B$2:$B1021</xm:f>
          </x14:formula1>
          <xm:sqref>F87</xm:sqref>
        </x14:dataValidation>
        <x14:dataValidation type="list" allowBlank="1" showInputMessage="1" showErrorMessage="1" xr:uid="{5EDD29D0-CBB0-4B38-8EA2-17767AFADEA0}">
          <x14:formula1>
            <xm:f>Brands!$B$2:$B1020</xm:f>
          </x14:formula1>
          <xm:sqref>F84:F86</xm:sqref>
        </x14:dataValidation>
        <x14:dataValidation type="list" allowBlank="1" showInputMessage="1" showErrorMessage="1" xr:uid="{E3566EF1-1912-44E2-B0D6-201274F17FA9}">
          <x14:formula1>
            <xm:f>Brands!$B$2:$B1019</xm:f>
          </x14:formula1>
          <xm:sqref>F81:F83</xm:sqref>
        </x14:dataValidation>
        <x14:dataValidation type="list" allowBlank="1" showInputMessage="1" showErrorMessage="1" xr:uid="{9150B432-9331-45EA-B859-860BEE78E457}">
          <x14:formula1>
            <xm:f>Brands!$B$2:$B1019</xm:f>
          </x14:formula1>
          <xm:sqref>F78:F79</xm:sqref>
        </x14:dataValidation>
        <x14:dataValidation type="list" allowBlank="1" showInputMessage="1" showErrorMessage="1" xr:uid="{AEF6C27E-5A7E-442A-A25E-FAEEF40B3AAF}">
          <x14:formula1>
            <xm:f>Brands!$B$2:$B1020</xm:f>
          </x14:formula1>
          <xm:sqref>F80</xm:sqref>
        </x14:dataValidation>
        <x14:dataValidation type="list" allowBlank="1" showInputMessage="1" showErrorMessage="1" xr:uid="{6BCDBB6F-9100-41FB-B185-5027335413F5}">
          <x14:formula1>
            <xm:f>Brands!$B$2:$B1016</xm:f>
          </x14:formula1>
          <xm:sqref>F73 F75:F76</xm:sqref>
        </x14:dataValidation>
        <x14:dataValidation type="list" allowBlank="1" showInputMessage="1" showErrorMessage="1" xr:uid="{A1F91490-9CD6-42E8-927C-D60DB31CEE5A}">
          <x14:formula1>
            <xm:f>Brands!$B$2:$B1019</xm:f>
          </x14:formula1>
          <xm:sqref>F77</xm:sqref>
        </x14:dataValidation>
        <x14:dataValidation type="list" allowBlank="1" showInputMessage="1" showErrorMessage="1" xr:uid="{2D6EE7D6-FE3E-4B0E-8A3B-AA9DC36A2779}">
          <x14:formula1>
            <xm:f>Brands!$B$2:$B1017</xm:f>
          </x14:formula1>
          <xm:sqref>F71</xm:sqref>
        </x14:dataValidation>
        <x14:dataValidation type="list" allowBlank="1" showInputMessage="1" showErrorMessage="1" xr:uid="{AD341688-9605-42DF-B349-180EB63BE071}">
          <x14:formula1>
            <xm:f>Brands!$B$2:$B1013</xm:f>
          </x14:formula1>
          <xm:sqref>F65:F67 F70</xm:sqref>
        </x14:dataValidation>
        <x14:dataValidation type="list" allowBlank="1" showInputMessage="1" showErrorMessage="1" xr:uid="{8788552B-E7D7-4106-8D79-9BE7389CBBEE}">
          <x14:formula1>
            <xm:f>Brands!$B$2:$B1015</xm:f>
          </x14:formula1>
          <xm:sqref>F68:F69</xm:sqref>
        </x14:dataValidation>
        <x14:dataValidation type="list" allowBlank="1" showInputMessage="1" showErrorMessage="1" xr:uid="{983866E7-AE60-4131-AF1A-9EA5E73B43A2}">
          <x14:formula1>
            <xm:f>Brands!$B$2:$B1018</xm:f>
          </x14:formula1>
          <xm:sqref>F63</xm:sqref>
        </x14:dataValidation>
        <x14:dataValidation type="list" allowBlank="1" showInputMessage="1" showErrorMessage="1" xr:uid="{7D73986A-C513-4A90-98DF-6CF4BDF86AC6}">
          <x14:formula1>
            <xm:f>Brands!$B$2:$B1018</xm:f>
          </x14:formula1>
          <xm:sqref>F62</xm:sqref>
        </x14:dataValidation>
        <x14:dataValidation type="list" allowBlank="1" showInputMessage="1" showErrorMessage="1" xr:uid="{5FB6CFE7-097B-47D4-B6FD-3A6EBA3F987A}">
          <x14:formula1>
            <xm:f>Brands!$B$2:$B1018</xm:f>
          </x14:formula1>
          <xm:sqref>F61</xm:sqref>
        </x14:dataValidation>
        <x14:dataValidation type="list" allowBlank="1" showInputMessage="1" showErrorMessage="1" xr:uid="{F6CD1656-8F32-417E-8146-ED6E86FBB7B6}">
          <x14:formula1>
            <xm:f>Brands!$B$2:$B1015</xm:f>
          </x14:formula1>
          <xm:sqref>F57:F60</xm:sqref>
        </x14:dataValidation>
        <x14:dataValidation type="list" allowBlank="1" showInputMessage="1" showErrorMessage="1" xr:uid="{491D5DAE-BFC7-48A5-B58C-5442143FE184}">
          <x14:formula1>
            <xm:f>Brands!$B$2:$B1015</xm:f>
          </x14:formula1>
          <xm:sqref>F51</xm:sqref>
        </x14:dataValidation>
        <x14:dataValidation type="list" allowBlank="1" showInputMessage="1" showErrorMessage="1" xr:uid="{5A7B76B3-F4DA-40D0-88F1-D31E1B323DE3}">
          <x14:formula1>
            <xm:f>Brands!$B$2:$B1015</xm:f>
          </x14:formula1>
          <xm:sqref>F50</xm:sqref>
        </x14:dataValidation>
        <x14:dataValidation type="list" allowBlank="1" showInputMessage="1" showErrorMessage="1" xr:uid="{1EA2D11B-AEC1-4DB6-AAB7-F2AF1FDFF381}">
          <x14:formula1>
            <xm:f>Brands!$B$2:$B1013</xm:f>
          </x14:formula1>
          <xm:sqref>F52:F53</xm:sqref>
        </x14:dataValidation>
        <x14:dataValidation type="list" allowBlank="1" showInputMessage="1" showErrorMessage="1" xr:uid="{3AF29BED-782A-4FC0-B7B0-DEC43E32475D}">
          <x14:formula1>
            <xm:f>Brands!$B$2:$B1015</xm:f>
          </x14:formula1>
          <xm:sqref>F55:F56</xm:sqref>
        </x14:dataValidation>
        <x14:dataValidation type="list" allowBlank="1" showInputMessage="1" showErrorMessage="1" xr:uid="{F182CB4D-95A7-45B7-B426-309BF9AD7799}">
          <x14:formula1>
            <xm:f>Brands!$B$2:$B1016</xm:f>
          </x14:formula1>
          <xm:sqref>F47:F49</xm:sqref>
        </x14:dataValidation>
        <x14:dataValidation type="list" allowBlank="1" showInputMessage="1" showErrorMessage="1" xr:uid="{8D19311D-FD34-47BF-A382-C0B387F06400}">
          <x14:formula1>
            <xm:f>Brands!$B$2:$B1016</xm:f>
          </x14:formula1>
          <xm:sqref>F46</xm:sqref>
        </x14:dataValidation>
        <x14:dataValidation type="list" allowBlank="1" showInputMessage="1" showErrorMessage="1" xr:uid="{6EE8F535-5AF6-4B7F-877D-4DDE99F8B7DA}">
          <x14:formula1>
            <xm:f>Brands!$B$2:$B1004</xm:f>
          </x14:formula1>
          <xm:sqref>F43:F44 F32</xm:sqref>
        </x14:dataValidation>
        <x14:dataValidation type="list" allowBlank="1" showInputMessage="1" showErrorMessage="1" xr:uid="{E0AB3EE4-EB08-458F-A345-A51DC9817B3E}">
          <x14:formula1>
            <xm:f>Brands!$B$2:$B1016</xm:f>
          </x14:formula1>
          <xm:sqref>F45</xm:sqref>
        </x14:dataValidation>
        <x14:dataValidation type="list" allowBlank="1" showInputMessage="1" showErrorMessage="1" xr:uid="{14B542FA-C6EF-4730-B534-AC703213AA6C}">
          <x14:formula1>
            <xm:f>Brands!$B$2:$B1004</xm:f>
          </x14:formula1>
          <xm:sqref>F42 F31</xm:sqref>
        </x14:dataValidation>
        <x14:dataValidation type="list" allowBlank="1" showInputMessage="1" showErrorMessage="1" xr:uid="{7FA97AA2-71B1-4D76-BE38-14DA76BA95C5}">
          <x14:formula1>
            <xm:f>Brands!$B$2:$B1015</xm:f>
          </x14:formula1>
          <xm:sqref>F41</xm:sqref>
        </x14:dataValidation>
        <x14:dataValidation type="list" allowBlank="1" showInputMessage="1" showErrorMessage="1" xr:uid="{1C031CB5-0B66-4005-BB11-8B1F827BB08C}">
          <x14:formula1>
            <xm:f>Brands!$B$2:$B1003</xm:f>
          </x14:formula1>
          <xm:sqref>F34:F35 F26:F27</xm:sqref>
        </x14:dataValidation>
        <x14:dataValidation type="list" allowBlank="1" showInputMessage="1" showErrorMessage="1" xr:uid="{0212F4A8-D764-4BBC-997F-1DF2E53ECDED}">
          <x14:formula1>
            <xm:f>Brands!$B$2:$B1012</xm:f>
          </x14:formula1>
          <xm:sqref>F36:F39</xm:sqref>
        </x14:dataValidation>
        <x14:dataValidation type="list" allowBlank="1" showInputMessage="1" showErrorMessage="1" xr:uid="{16D515C3-A045-4694-979A-82A876D88655}">
          <x14:formula1>
            <xm:f>Brands!$B$2:$B1003</xm:f>
          </x14:formula1>
          <xm:sqref>F40 F28:F30</xm:sqref>
        </x14:dataValidation>
        <x14:dataValidation type="list" allowBlank="1" showInputMessage="1" showErrorMessage="1" xr:uid="{6062D99F-EF0E-4185-8990-9AB6BDFE38F6}">
          <x14:formula1>
            <xm:f>Brands!$B$2:$B1003</xm:f>
          </x14:formula1>
          <xm:sqref>F23:F25</xm:sqref>
        </x14:dataValidation>
        <x14:dataValidation type="list" allowBlank="1" showInputMessage="1" showErrorMessage="1" xr:uid="{EDF55370-5167-4E00-8903-304C0B57B3F5}">
          <x14:formula1>
            <xm:f>Brands!$B$2:$B1002</xm:f>
          </x14:formula1>
          <xm:sqref>F21:F22</xm:sqref>
        </x14:dataValidation>
        <x14:dataValidation type="list" allowBlank="1" showInputMessage="1" showErrorMessage="1" xr:uid="{71CFADD5-9C28-49DD-A16B-251A1B93977A}">
          <x14:formula1>
            <xm:f>Brands!$B$2:$B1010</xm:f>
          </x14:formula1>
          <xm:sqref>F20</xm:sqref>
        </x14:dataValidation>
        <x14:dataValidation type="list" allowBlank="1" showInputMessage="1" showErrorMessage="1" xr:uid="{DAD911B8-9CD8-40E3-9BAC-303C28AD04A8}">
          <x14:formula1>
            <xm:f>Brands!$B$2:$B1010</xm:f>
          </x14:formula1>
          <xm:sqref>F18:F19</xm:sqref>
        </x14:dataValidation>
        <x14:dataValidation type="list" allowBlank="1" showInputMessage="1" showErrorMessage="1" xr:uid="{C1E63B41-506B-4B67-AEB3-59B3F5205CB4}">
          <x14:formula1>
            <xm:f>Brands!$B$2:$B1010</xm:f>
          </x14:formula1>
          <xm:sqref>F17</xm:sqref>
        </x14:dataValidation>
        <x14:dataValidation type="list" allowBlank="1" showInputMessage="1" showErrorMessage="1" xr:uid="{8711060D-1670-49EF-90C0-40766691F62A}">
          <x14:formula1>
            <xm:f>Brands!$B$2:$B1010</xm:f>
          </x14:formula1>
          <xm:sqref>F16</xm:sqref>
        </x14:dataValidation>
        <x14:dataValidation type="list" allowBlank="1" showInputMessage="1" showErrorMessage="1" xr:uid="{0F6C978D-B106-4747-ACFB-7E2AAE136839}">
          <x14:formula1>
            <xm:f>Brands!$B$2:$B1003</xm:f>
          </x14:formula1>
          <xm:sqref>F7:F14</xm:sqref>
        </x14:dataValidation>
        <x14:dataValidation type="list" allowBlank="1" showInputMessage="1" showErrorMessage="1" xr:uid="{2B730FE1-0EE7-424D-84B6-4CA50F582D1C}">
          <x14:formula1>
            <xm:f>Brands!$B$2:$B1010</xm:f>
          </x14:formula1>
          <xm:sqref>F15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F831-E036-4FF8-9BF9-E269692B9B4D}">
  <dimension ref="A1:G5"/>
  <sheetViews>
    <sheetView tabSelected="1" workbookViewId="0">
      <selection activeCell="A2" sqref="A2"/>
    </sheetView>
  </sheetViews>
  <sheetFormatPr defaultRowHeight="15.6" x14ac:dyDescent="0.3"/>
  <cols>
    <col min="1" max="1" width="12.796875" bestFit="1" customWidth="1"/>
    <col min="2" max="2" width="13.8984375" bestFit="1" customWidth="1"/>
    <col min="3" max="3" width="10.3984375" bestFit="1" customWidth="1"/>
    <col min="4" max="4" width="23.296875" bestFit="1" customWidth="1"/>
    <col min="6" max="6" width="10.59765625" style="10" bestFit="1" customWidth="1"/>
    <col min="7" max="7" width="10.09765625" style="10" bestFit="1" customWidth="1"/>
  </cols>
  <sheetData>
    <row r="1" spans="1:7" ht="46.8" x14ac:dyDescent="0.3">
      <c r="A1" s="2" t="s">
        <v>226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</row>
    <row r="2" spans="1:7" x14ac:dyDescent="0.3">
      <c r="A2" t="s">
        <v>490</v>
      </c>
      <c r="B2" t="s">
        <v>464</v>
      </c>
      <c r="C2">
        <v>10</v>
      </c>
      <c r="D2" t="s">
        <v>220</v>
      </c>
      <c r="E2">
        <v>100</v>
      </c>
      <c r="F2" s="10" t="s">
        <v>221</v>
      </c>
      <c r="G2" s="10" t="s">
        <v>459</v>
      </c>
    </row>
    <row r="3" spans="1:7" x14ac:dyDescent="0.3">
      <c r="A3" t="s">
        <v>461</v>
      </c>
      <c r="B3" t="s">
        <v>460</v>
      </c>
      <c r="C3">
        <v>10000000</v>
      </c>
      <c r="D3" t="s">
        <v>220</v>
      </c>
      <c r="E3">
        <v>200</v>
      </c>
      <c r="F3" s="10" t="s">
        <v>221</v>
      </c>
      <c r="G3" s="10" t="s">
        <v>459</v>
      </c>
    </row>
    <row r="4" spans="1:7" x14ac:dyDescent="0.3">
      <c r="A4" t="s">
        <v>222</v>
      </c>
      <c r="B4" t="s">
        <v>223</v>
      </c>
      <c r="C4">
        <v>100</v>
      </c>
      <c r="D4" t="s">
        <v>220</v>
      </c>
      <c r="E4">
        <v>200</v>
      </c>
      <c r="F4" s="10" t="s">
        <v>224</v>
      </c>
      <c r="G4" s="10" t="s">
        <v>225</v>
      </c>
    </row>
    <row r="5" spans="1:7" x14ac:dyDescent="0.3">
      <c r="A5" t="s">
        <v>462</v>
      </c>
      <c r="B5" t="s">
        <v>463</v>
      </c>
      <c r="C5">
        <v>100</v>
      </c>
      <c r="D5" t="s">
        <v>220</v>
      </c>
      <c r="E5">
        <v>0</v>
      </c>
      <c r="F5" s="10" t="s">
        <v>224</v>
      </c>
      <c r="G5" s="10" t="s">
        <v>459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B928-FC02-466E-B00E-8B6F1B9FF7CA}">
  <dimension ref="A1:D2"/>
  <sheetViews>
    <sheetView workbookViewId="0">
      <selection activeCell="C23" sqref="C23"/>
    </sheetView>
  </sheetViews>
  <sheetFormatPr defaultRowHeight="15.6" x14ac:dyDescent="0.3"/>
  <cols>
    <col min="1" max="1" width="15.59765625" bestFit="1" customWidth="1"/>
    <col min="2" max="2" width="11.5" bestFit="1" customWidth="1"/>
    <col min="3" max="3" width="13.09765625" bestFit="1" customWidth="1"/>
    <col min="4" max="4" width="17.09765625" bestFit="1" customWidth="1"/>
  </cols>
  <sheetData>
    <row r="1" spans="1:4" ht="32.4" x14ac:dyDescent="0.3">
      <c r="A1" s="2" t="s">
        <v>233</v>
      </c>
      <c r="B1" s="2" t="s">
        <v>234</v>
      </c>
      <c r="C1" s="2" t="s">
        <v>235</v>
      </c>
      <c r="D1" s="2" t="s">
        <v>236</v>
      </c>
    </row>
    <row r="2" spans="1:4" x14ac:dyDescent="0.3">
      <c r="A2" t="s">
        <v>220</v>
      </c>
      <c r="B2">
        <v>5</v>
      </c>
      <c r="C2">
        <v>10000</v>
      </c>
      <c r="D2" t="s">
        <v>237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7D3E-D67A-478B-B67E-B04DF6E2A5FD}">
  <dimension ref="A1:G6"/>
  <sheetViews>
    <sheetView workbookViewId="0">
      <pane ySplit="1" topLeftCell="A2" activePane="bottomLeft" state="frozen"/>
      <selection pane="bottomLeft" activeCell="E9" sqref="E9"/>
    </sheetView>
  </sheetViews>
  <sheetFormatPr defaultRowHeight="15.6" x14ac:dyDescent="0.3"/>
  <cols>
    <col min="1" max="1" width="9.796875" style="1" bestFit="1" customWidth="1"/>
    <col min="2" max="2" width="20.09765625" style="10" bestFit="1" customWidth="1"/>
    <col min="3" max="3" width="14" bestFit="1" customWidth="1"/>
    <col min="4" max="4" width="14.296875" style="21" bestFit="1" customWidth="1"/>
    <col min="5" max="5" width="6.8984375" style="1" bestFit="1" customWidth="1"/>
    <col min="6" max="6" width="17.69921875" bestFit="1" customWidth="1"/>
    <col min="7" max="7" width="55.3984375" bestFit="1" customWidth="1"/>
  </cols>
  <sheetData>
    <row r="1" spans="1:7" x14ac:dyDescent="0.3">
      <c r="A1" s="18" t="s">
        <v>466</v>
      </c>
      <c r="B1" s="20" t="s">
        <v>467</v>
      </c>
      <c r="C1" s="18" t="s">
        <v>468</v>
      </c>
      <c r="D1" s="18" t="s">
        <v>469</v>
      </c>
      <c r="E1" s="18" t="s">
        <v>470</v>
      </c>
      <c r="F1" s="18" t="s">
        <v>471</v>
      </c>
      <c r="G1" s="19" t="s">
        <v>480</v>
      </c>
    </row>
    <row r="2" spans="1:7" x14ac:dyDescent="0.3">
      <c r="A2" s="1" t="s">
        <v>473</v>
      </c>
      <c r="B2" s="10" t="s">
        <v>474</v>
      </c>
      <c r="C2" t="s">
        <v>475</v>
      </c>
      <c r="D2" s="21" t="s">
        <v>489</v>
      </c>
      <c r="E2" s="1">
        <v>123456</v>
      </c>
      <c r="F2" t="s">
        <v>472</v>
      </c>
    </row>
    <row r="3" spans="1:7" x14ac:dyDescent="0.3">
      <c r="A3" s="1" t="s">
        <v>473</v>
      </c>
      <c r="B3" s="10" t="s">
        <v>485</v>
      </c>
      <c r="C3" t="s">
        <v>475</v>
      </c>
      <c r="D3" s="21" t="s">
        <v>489</v>
      </c>
      <c r="F3" t="s">
        <v>476</v>
      </c>
      <c r="G3" t="s">
        <v>481</v>
      </c>
    </row>
    <row r="4" spans="1:7" x14ac:dyDescent="0.3">
      <c r="A4" s="1" t="s">
        <v>473</v>
      </c>
      <c r="B4" s="10" t="s">
        <v>486</v>
      </c>
      <c r="C4" t="s">
        <v>475</v>
      </c>
      <c r="D4" s="21" t="s">
        <v>489</v>
      </c>
      <c r="F4" t="s">
        <v>477</v>
      </c>
      <c r="G4" t="s">
        <v>482</v>
      </c>
    </row>
    <row r="5" spans="1:7" x14ac:dyDescent="0.3">
      <c r="A5" s="1" t="s">
        <v>473</v>
      </c>
      <c r="B5" s="10" t="s">
        <v>487</v>
      </c>
      <c r="C5" t="s">
        <v>475</v>
      </c>
      <c r="D5" s="21" t="s">
        <v>489</v>
      </c>
      <c r="F5" t="s">
        <v>478</v>
      </c>
      <c r="G5" t="s">
        <v>484</v>
      </c>
    </row>
    <row r="6" spans="1:7" x14ac:dyDescent="0.3">
      <c r="A6" s="1" t="s">
        <v>473</v>
      </c>
      <c r="B6" s="10" t="s">
        <v>488</v>
      </c>
      <c r="C6" t="s">
        <v>475</v>
      </c>
      <c r="D6" s="21" t="s">
        <v>489</v>
      </c>
      <c r="F6" t="s">
        <v>479</v>
      </c>
      <c r="G6" t="s">
        <v>483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Brands</vt:lpstr>
      <vt:lpstr>Categories</vt:lpstr>
      <vt:lpstr>Products</vt:lpstr>
      <vt:lpstr>Sale</vt:lpstr>
      <vt:lpstr>Rank</vt:lpstr>
      <vt:lpstr>Bank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Phát Hưng</dc:creator>
  <cp:lastModifiedBy>Hung Nguyen</cp:lastModifiedBy>
  <dcterms:created xsi:type="dcterms:W3CDTF">2023-12-25T03:39:01Z</dcterms:created>
  <dcterms:modified xsi:type="dcterms:W3CDTF">2024-03-09T17:13:00Z</dcterms:modified>
</cp:coreProperties>
</file>