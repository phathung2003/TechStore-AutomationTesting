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omework\Năm 3\Học kỳ 2\Bảo đảm chất lượng phần mềm\Đồ án\Phần mềm\TechStore-AutomationTesting\DoAn\"/>
    </mc:Choice>
  </mc:AlternateContent>
  <xr:revisionPtr revIDLastSave="0" documentId="13_ncr:1_{AE0F9EBE-CA7C-4273-9FFE-53EB309EE369}" xr6:coauthVersionLast="47" xr6:coauthVersionMax="47" xr10:uidLastSave="{00000000-0000-0000-0000-000000000000}"/>
  <bookViews>
    <workbookView xWindow="-120" yWindow="-120" windowWidth="29040" windowHeight="17520" xr2:uid="{AF6A08C4-AD7F-4EE5-BD11-82977F93670B}"/>
  </bookViews>
  <sheets>
    <sheet name="Set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L2" i="1"/>
  <c r="N1" i="1"/>
  <c r="L1" i="1"/>
  <c r="P2" i="1" l="1"/>
  <c r="P1" i="1"/>
</calcChain>
</file>

<file path=xl/sharedStrings.xml><?xml version="1.0" encoding="utf-8"?>
<sst xmlns="http://schemas.openxmlformats.org/spreadsheetml/2006/main" count="729" uniqueCount="486">
  <si>
    <t>HỌ VÀ TÊN</t>
  </si>
  <si>
    <t>MSSV</t>
  </si>
  <si>
    <t>ID</t>
  </si>
  <si>
    <t>Điều kiện trước đó
Precondition</t>
  </si>
  <si>
    <t>Các bước thực hiện
Test Step</t>
  </si>
  <si>
    <t>Dữ liệu kiểm thử
Test Data</t>
  </si>
  <si>
    <t>Kết quả kỳ vọng
Expected Result</t>
  </si>
  <si>
    <t>Kết quả thực tế
Actual Result</t>
  </si>
  <si>
    <t>Passed/ Failed</t>
  </si>
  <si>
    <t>Kịch bản kiểm thử
Test Case/Test Scenario</t>
  </si>
  <si>
    <t>Ghi chú
Note</t>
  </si>
  <si>
    <t>21DH113722</t>
  </si>
  <si>
    <t>Người dùng tra cứu sản phẩm</t>
  </si>
  <si>
    <t>FSP001</t>
  </si>
  <si>
    <t>FSP002</t>
  </si>
  <si>
    <t>FSP003</t>
  </si>
  <si>
    <t>FSP004</t>
  </si>
  <si>
    <t>FSP005</t>
  </si>
  <si>
    <t>TGH001</t>
  </si>
  <si>
    <t>- Có sản phẩm trong hệ thống.</t>
  </si>
  <si>
    <t>Tìm kiếm sản phẩm có trong hệ thống.
[Tên sản phẩm - Chữ hoa/thường]</t>
  </si>
  <si>
    <t>Tìm kiếm sản phẩm có trong hệ thống.
[Tên sản phẩm]</t>
  </si>
  <si>
    <t>Tìm kiếm sản phẩm có trong hệ thống. 
[Một phần tên sản phẩm]</t>
  </si>
  <si>
    <t>Tìm kiếm sản phẩm có trong hệ thống.
[Một phần tên sản phẩm - Chữ hoa/thường]</t>
  </si>
  <si>
    <t>Thêm vào giỏ hàng từ trang Wishlist.
[Tài khoản khách]</t>
  </si>
  <si>
    <t>Thêm vào giỏ hàng từ trang Wishlist.
[Tài khoản admin]</t>
  </si>
  <si>
    <t>- Đã đăng nhập tài khoản.
- Có sản phẩm trong hệ thống.
- Đã vào trang SHOP</t>
  </si>
  <si>
    <t>TGH002</t>
  </si>
  <si>
    <t>TGH003</t>
  </si>
  <si>
    <t>TGH004</t>
  </si>
  <si>
    <t>TGH005</t>
  </si>
  <si>
    <t>TGH006</t>
  </si>
  <si>
    <t>TGH007</t>
  </si>
  <si>
    <t>TGH008</t>
  </si>
  <si>
    <t>TGH009</t>
  </si>
  <si>
    <t>TGH010</t>
  </si>
  <si>
    <t>TGH011</t>
  </si>
  <si>
    <t>TGH012</t>
  </si>
  <si>
    <t>Thêm nhiều sản phẩm vào giỏ hàng bằng nút "Buy now" từ trang SHOP
[Tài khoản khách]</t>
  </si>
  <si>
    <t>TGH013</t>
  </si>
  <si>
    <t>Thêm nhiều sản phẩm vào giỏ hàng bằng nút "Add cart" từ trang SHOP
[Tài khoản khách]</t>
  </si>
  <si>
    <t>Thêm nhiều sản phẩm vào giỏ hàng từ trang Wishlist.
[Tài khoản khách]</t>
  </si>
  <si>
    <t>Thêm nhiều sản phẩm vào giỏ hàng bằng nút "Buy now" từ trang SHOP
[Tài khoản admin]</t>
  </si>
  <si>
    <t>Thêm nhiều sản phẩm vào giỏ hàng bằng nút "Add cart" từ trang SHOP
[Tài khoản admin]</t>
  </si>
  <si>
    <t>Thêm nhiều sản phẩm vào giỏ hàng từ trang Wishlist.
[Tài khoản admin]</t>
  </si>
  <si>
    <t>TGH014</t>
  </si>
  <si>
    <t>TGH015</t>
  </si>
  <si>
    <t>TGH016</t>
  </si>
  <si>
    <t>- Đã đăng nhập tài khoản khách hàng.
- Có sản phẩm trong hệ thống.
- Đã vào trang HOME.</t>
  </si>
  <si>
    <t>- Đã đăng nhập tài khoản khách hàng.
- Có sản phẩm trong hệ thống.
- Đã vào trang SHOP</t>
  </si>
  <si>
    <t>- Đã đăng nhập tài khoản khách hàng.
- Có sản phẩm trong Wishlist.
- Đã vào trang Wishlist.</t>
  </si>
  <si>
    <t>- Đã đăng nhập tài khoản admin.
- Có sản phẩm trong hệ thống.
- Đã vào trang HOME.</t>
  </si>
  <si>
    <t>- Đã đăng nhập tài khoản admin.
- Có sản phẩm trong hệ thống.
- Đã vào trang SHOP</t>
  </si>
  <si>
    <t>- Đã đăng nhập tài khoản admin.
- Có sản phẩm trong Wishlist.
- Đã vào trang Wishlist.</t>
  </si>
  <si>
    <t>Người dùng xoá sản phẩm ra khỏi giỏ hàng</t>
  </si>
  <si>
    <t>Người dùng thêm sản phẩm vào giỏ hàng</t>
  </si>
  <si>
    <t>Xoá sản phẩm ra khỏi giỏ hàng.
[Tài khoản khách]</t>
  </si>
  <si>
    <t>- Đã đăng nhập tài khoản khách hàng.
- Có sản phẩm trong giỏ hàng.
- Đã vào trang Cart.</t>
  </si>
  <si>
    <t>Nhấn vào nút "Buy now" từ trang HOME.
[Tài khoản khách]</t>
  </si>
  <si>
    <t>B1: Rê chuột vào sản phẩm muốn thêm.
B2: Nhấn chuột trái vào nút "Buy now".
B3: Nhấn chuột trái vào nút "ADD TO CART".
B4: Nhấn chuột trái vào nút "OK".
B5: Nhấn chuột trái vào "Cart"</t>
  </si>
  <si>
    <t>B1: Rê chuột vào sản phẩm muốn thêm.
B2: Nhấn chuột trái vào nút "Buy now".
B3: Nhấn chuột trái vào nút "ADD TO CART".
B4: Nhấn chuột trái vào nút "OK".
B5: Nhấn chuột trái vào nút "HOME" và lặp lại B1.
** Sau khi thêm hoàn tất
B6: Nhấn chuột trái vào "Cart"</t>
  </si>
  <si>
    <t>Nhấn vào nút "Buy now" từ trang SHOP.
[Tài khoản khách]</t>
  </si>
  <si>
    <t>B1: Rê chuột vào sản phẩm muốn thêm
B2: Nhấn chuột trái vào nút "Buy now".
B3: Nhấn chuột trái vào nút "ADD TO CART".
B4: Nhấn chuột trái vào nút "OK".
B5: Nhấn chuột trái vào "Cart"</t>
  </si>
  <si>
    <t>B1: Rê chuột vào sản phẩm muốn thêm
B2: Nhấn chuột trái vào nút "Buy now".
B3: Nhấn chuột trái vào nút "ADD TO CART".
B4: Nhấn chuột trái vào nút "OK".
B5: Nhấn chuột trái vào nút "SHOP" và lặp lại B1.
** Sau khi thêm hoàn tất
B6: Nhấn chuột trái vào "Cart"</t>
  </si>
  <si>
    <t>Nhấn vào nút "Add cart" từ trang SHOP.
[Tài khoản khách]</t>
  </si>
  <si>
    <t>B1: Rê chuột vào sản phẩm muốn thêm
B2: Nhấn chuột trái vào nút "Add Cart".
B3: Nhấn chuột trái vào nút "OK".
B4: Nhấn chuột trái vào "Cart"</t>
  </si>
  <si>
    <t>B1: Rê chuột vào sản phẩm muốn thêm
B2: Nhấn chuột trái vào nút "Add Cart".
B3: Nhấn chuột trái vào nút "OK".
B4: Nhấn chuột trái vào nút "SHOP" và lặp lại B1.
** Sau khi thêm hoàn tất
B5: Nhấn chuột trái vào "Cart"</t>
  </si>
  <si>
    <t>B1: Rê chuột vào sản phẩm muốn thêm.
B2: Nhấn chuột trái vào nút "ADD TO CART".
B3: Nhấn chuột trái vào nút "OK".
B4: Nhấn chuột trái vào "Cart"</t>
  </si>
  <si>
    <t>B1: Rê chuột vào sản phẩm muốn thêm.
B2: Nhấn chuột trái vào nút "ADD TO CART".
B3: Nhấn chuột trái vào nút "OK".
B4: Nhấn chuột trái vào nút "Wishlist" và lặp lại B1.
** Sau khi thêm hoàn tất
B5: Nhấn chuột trái vào "Cart"</t>
  </si>
  <si>
    <t>Nhấn vào nút "Buy now" từ trang HOME.
[Tài khoản admin]</t>
  </si>
  <si>
    <t>Nhấn vào nút "Buy now" từ trang SHOP.
[Tài khoản admin]</t>
  </si>
  <si>
    <t>Nhấn vào nút "Add cart" từ trang SHOP.
[Tài khoản admin]</t>
  </si>
  <si>
    <t>B1: Rê chuột vào sản phẩm muốn xoá.
B2: Nhấn chuột trái vào icon "Thùng rác".
B3: Nhấn chuột trái vào nút "OK".</t>
  </si>
  <si>
    <t>Xoá nhiều sản phẩm ra khỏi giỏ hàng.
[Tài khoản khách]</t>
  </si>
  <si>
    <t>B1: Rê chuột vào sản phẩm muốn xoá.
B2: Nhấn chuột trái vào icon "Thùng rác".
B3: Nhấn chuột trái vào nút "OK".
B4: Lặp lại B1.</t>
  </si>
  <si>
    <t>Xoá sản phẩm ra khỏi giỏ hàng.
[Tài khoản admin]</t>
  </si>
  <si>
    <t>- Đã đăng nhập tài khoản admin.
- Có sản phẩm trong giỏ hàng.
- Đã vào trang Cart.</t>
  </si>
  <si>
    <t>XGH001</t>
  </si>
  <si>
    <t>XGH002</t>
  </si>
  <si>
    <t>XGH003</t>
  </si>
  <si>
    <t>XGH004</t>
  </si>
  <si>
    <t>B1: Nhấn chuột trái vào nút "Checkout".
B2: Nhấn chuột trái vào nút "OK".
B3: Nhấn chuột trái vào nút "Account".
B4: Nhấn chuột trái vào nút "Order".
B5: Nhấn chuột trái vào nút "Pending".</t>
  </si>
  <si>
    <t>MH001</t>
  </si>
  <si>
    <t>Người dùng mua hàng</t>
  </si>
  <si>
    <t>MH002</t>
  </si>
  <si>
    <t>MH003</t>
  </si>
  <si>
    <t>MH004</t>
  </si>
  <si>
    <t>MH005</t>
  </si>
  <si>
    <t>- Đã đăng nhập vào tài khoản.
- Tài khoản không điền thông tin trong phần "Account".
- Có sản phẩm trong giỏ hàng.
- Đã vào trang Cart.</t>
  </si>
  <si>
    <t>B1: Nhấn chuột trái vào "Change".
B2: Nhấn chuột trái vào ô nhập "name…".
B3: Nhập tên người dùng vào.
B4: Nhấn chuột trái vào ô nhập "Your Phone…".
B5: Nhập số điện thoại vào.
B6: Nhấn chuột trái vào ô nhập "Your Addresss…".
B7: Nhập địa chỉ nhà vào.
B8: Nhấn chuột trái vào nút "Submit"</t>
  </si>
  <si>
    <t>B1: Nhấn chuột trái vào "Change".
B2: Nhấn chuột trái vào ô nhập "name…".
B3: Xoá thông tin trong ô nhập
B4: Nhấn chuột trái vào nút "Submit"</t>
  </si>
  <si>
    <t>B1: Nhấn chuột trái vào "Change".
B2: Nhấn chuột trái vào nút "Submit"</t>
  </si>
  <si>
    <t>MH013</t>
  </si>
  <si>
    <t>MH012</t>
  </si>
  <si>
    <t>MH011</t>
  </si>
  <si>
    <t>MH010</t>
  </si>
  <si>
    <t>MH009</t>
  </si>
  <si>
    <t>MH008</t>
  </si>
  <si>
    <t>MH007</t>
  </si>
  <si>
    <t>MH006</t>
  </si>
  <si>
    <t>MH014</t>
  </si>
  <si>
    <t>MH015</t>
  </si>
  <si>
    <t>MH016</t>
  </si>
  <si>
    <t>B1: Nhấn chuột trái vào "Change".</t>
  </si>
  <si>
    <t>Điền thiếu thông tin người mua hàng  - Thiếu địa chỉ.
[Tài khoản không có thông tin trong phần Account]</t>
  </si>
  <si>
    <t>Điền thiếu thông tin người mua hàng  - Thiếu số điện thoại.
[Tài khoản không có thông tin trong phần Account]</t>
  </si>
  <si>
    <t>Điền thiếu thông tin người mua hàng  - Thiếu tên.
[Tài khoản không có thông tin trong phần Account]</t>
  </si>
  <si>
    <t>Điền đầy đủ thông tin người mua hàng.
[Tài khoản không có thông tin trong phần Account]</t>
  </si>
  <si>
    <t>Xoá nhiều sản phẩm ra khỏi giỏ hàng.
[Tài khoản admin]</t>
  </si>
  <si>
    <t>B1: Nhấn chuột trái vào nút "Checkout".</t>
  </si>
  <si>
    <t>Xác nhận đơn hàng  - Không có thông tin mua hàng
[Tài khoản không có thông tin trong phần Account]</t>
  </si>
  <si>
    <t>Thanh toán đơn hàng  - Không có thông tin mua hàng
[Tài khoản không có thông tin trong phần Account]</t>
  </si>
  <si>
    <t>- Đã đăng nhập vào tài khoản.
- Tài khoản không điền thông tin trong phần "Account".
- Có sản phẩm trong giỏ hàng.
- Đã vào trang Cart.
- Đã thêm thông tin người mua hàng [MH003].</t>
  </si>
  <si>
    <t>- Đã đăng nhập vào tài khoản.
- Tài khoản có thông tin trong phần "Account".
- Có sản phẩm trong giỏ hàng.
- Đã vào trang Cart.
- Đã thêm thông tin người mua hàng [MH003].</t>
  </si>
  <si>
    <t>B1: Lấy thông tin trong phần "Giao tới"
B2: Nhấn chuột trái vào "Account"
B3: Nhấn chuột trái vào "Account Detail"</t>
  </si>
  <si>
    <t>- Đã đăng nhập tài khoản.
- Có sản phẩm trong giỏ hàng.
- Đã vào trang Cart.
- Đầy đủ thông tin trong phần "Giao tới".</t>
  </si>
  <si>
    <t>B1: Nhấn chuột trái vào khung "Nhập mã khuyến mãi…".
B2: Nhập mã khuyến mãi hợp lệ.
B3: Nhấn chuột trái vào nút "Add".</t>
  </si>
  <si>
    <t>B1: Nhấn chuột trái vào khung "Nhập mã khuyến mãi…".
B2: Nhập mã khuyến mãi hết hạn.
B3: Nhấn chuột trái vào nút "Add".</t>
  </si>
  <si>
    <t>B1: Nhấn chuột trái vào khung "Nhập mã khuyến mãi…".
B2: Nhập mã khuyến mãi quá số tiền sản phẩm.
B3: Nhấn chuột trái vào nút "Add".</t>
  </si>
  <si>
    <t>B1: Nhấn chuột trái vào khung "Nhập mã khuyến mãi…".
B2: Nhập mã khuyến mãi không tồn tại trên hệ thống.
B3: Nhấn chuột trái vào nút "Add".</t>
  </si>
  <si>
    <t>MH017</t>
  </si>
  <si>
    <t>MH018</t>
  </si>
  <si>
    <t>B1: Nhấn chuột trái vào "Select Your Voucher".
B2: Rê chuột vào mã khuyến mãi hợp lệ.
B3: Nhấn chuột trái vào nút "Add".</t>
  </si>
  <si>
    <t>B1: Nhấn chuột trái vào "Select Your Voucher".
B2: Rê chuột vào mã khuyến mãi hết hạn.
B3: Nhấn chuột trái vào nút "Add".</t>
  </si>
  <si>
    <t>B1: Nhấn chuột trái vào "Select Your Voucher".
B2: Rê chuột vào mã khuyến mãi quá số tiền sản phẩm.
B3: Nhấn chuột trái vào nút "Add".</t>
  </si>
  <si>
    <t>MH019</t>
  </si>
  <si>
    <t>MH020</t>
  </si>
  <si>
    <t>MH021</t>
  </si>
  <si>
    <t>B1: Nhấn chuột trái vào nút "Check Payment".</t>
  </si>
  <si>
    <t>Kiểm tra giá tiền khi thanh toán qua VNPAY.
[Dùng mã khuyến mãi hết hạn]</t>
  </si>
  <si>
    <t>Kiểm tra giá tiền khi thanh toán qua VNPAY.
[Không dùng khuyến mãi]</t>
  </si>
  <si>
    <t>Kiểm tra giá tiền khi thanh toán qua VNPAY.
[Dùng mã khuyến mãi hợp lệ]</t>
  </si>
  <si>
    <t>Đặt đơn hàng.
[Dùng mã khuyến mãi giảm quá giá tiền sản phẩm]</t>
  </si>
  <si>
    <t>Kiểm tra giá tiền khi thanh toán qua VNPAY.
[Dùng mã khuyến mãi giảm quá giá tiền sản phẩm]</t>
  </si>
  <si>
    <t>Đặt đơn hàng.
[Dùng mã khuyến mãi hết hạn]</t>
  </si>
  <si>
    <t>Đặt đơn hàng.
[Dùng mã khuyến mãi hợp lệ]</t>
  </si>
  <si>
    <t>Đặt đơn hàng.
[Không dùng mã khuyến mãi]</t>
  </si>
  <si>
    <t>Chọn mã khuyến mãi giảm quá giá tiền sản phẩm.</t>
  </si>
  <si>
    <t>Chọn mã khuyến mãi hết hạn.</t>
  </si>
  <si>
    <t xml:space="preserve">Chọn mã khuyến mãi hợp lệ.
</t>
  </si>
  <si>
    <t>Nhập mã khuyến mãi không tồn tại.</t>
  </si>
  <si>
    <t>Nhập mã khuyến mãi giảm quá giá tiền sản phẩm.</t>
  </si>
  <si>
    <t>Nhập mã khuyến mãi hết hạn.</t>
  </si>
  <si>
    <t>Nhập mã khuyến mãi hợp lệ.</t>
  </si>
  <si>
    <t>Kiểm tra thông tin người mua hàng.
[Tài khoản có thông tin trong phần Account]</t>
  </si>
  <si>
    <t>Vào trang điều chỉnh thông tin.
[Tài khoản có thông tin trong phần Account]</t>
  </si>
  <si>
    <t>Vào trang điều chỉnh thông tin - Đã điền thông tin trước đó.
[Tài khoản không có thông tin trong phần Account]</t>
  </si>
  <si>
    <t>MH022</t>
  </si>
  <si>
    <t>MH023</t>
  </si>
  <si>
    <t>MH024</t>
  </si>
  <si>
    <t>MH025</t>
  </si>
  <si>
    <t>Thanh toán qua VNPAY
[Thẻ bị khoá]</t>
  </si>
  <si>
    <t>B1: Nhấn chuột trái vào ô nhập "Enter card number".
B2: Nhập mã thẻ bị khoá.
B3: Nhấn chuột trái vào ô nhập "Enter card holder".
B4: Nhập tên chủ thẻ bị khoá.
B5: Nhấn chuột trái vào ô nhập "MM/YY".
B6: Nhập ngày hết hạn của thẻ bị khoá.
B7: Nhấn chuột trái vào nút "Continue".
B8: Nhấn chuột trái vào nút "Agree&amp;Continue"
B9: Nhấn chuột trái vào nút "Cancel"
B10: Nhấn chuột trái vào nút "Confirm"
B11: Nhấn chuột trái vào "Account"
B12: Nhấn chuột trái vào "Order"
B13: Nhấn chuột trái vào "Pending"</t>
  </si>
  <si>
    <t>Thanh toán qua VNPAY
[Thẻ bị hết hạn]</t>
  </si>
  <si>
    <t>B1: Nhấn chuột trái vào ô nhập "Enter card number".
B2: Nhập mã thẻ bị hết hạn.
B3: Nhấn chuột trái vào ô nhập "Enter card holder".
B4: Nhập tên chủ thẻ  bị hết hạn.
B5: Nhấn chuột trái vào ô nhập "MM/YY".
B6: Nhập ngày hết hạn của thẻ  bị hết hạn.
B7: Nhấn chuột trái vào nút "Continue".
B8: Nhấn chuột trái vào nút "Agree&amp;Continue"
B9: Nhấn chuột trái vào nút "Cancel"
B10: Nhấn chuột trái vào nút "Confirm"
B11: Nhấn chuột trái vào "Account"
B12: Nhấn chuột trái vào "Order"
B13: Nhấn chuột trái vào "Pending"</t>
  </si>
  <si>
    <t>Thanh toán qua VNPAY
[Thẻ chưa kích hoạt]</t>
  </si>
  <si>
    <t>B1: Nhấn chuột trái vào ô nhập "Enter card number".
B2: Nhập mã thẻ chưa kích hoạt.
B3: Nhấn chuột trái vào ô nhập "Enter card holder".
B4: Nhập tên chủ thẻ chưa kích hoạt.
B5: Nhấn chuột trái vào ô nhập "MM/YY".
B6: Nhập ngày hết hạn của thẻ chưa kích hoạt.
B7: Nhấn chuột trái vào nút "Continue".
B8: Nhấn chuột trái vào nút "Agree&amp;Continue"
B9: Nhấn chuột trái vào nút "Cancel"
B10: Nhấn chuột trái vào nút "Confirm"
B11: Nhấn chuột trái vào "Account"
B12: Nhấn chuột trái vào "Order"
B13: Nhấn chuột trái vào "Pending"</t>
  </si>
  <si>
    <t>Thanh toán qua VNPAY
[Thẻ không đủ số dư]</t>
  </si>
  <si>
    <t>B1: Nhấn chuột trái vào ô nhập "Enter card number".
B2: Nhập mã thẻ không đủ số dư.
B3: Nhấn chuột trái vào ô nhập "Enter card holder".
B4: Nhập tên chủ thẻ không đủ số dư.
B5: Nhấn chuột trái vào ô nhập "MM/YY".
B6: Nhập ngày hết hạn của thẻ không đủ số dư.
B7: Nhấn chuột trái vào nút "Continue".
B8: Nhấn chuột trái vào nút "Agree&amp;Continue"
B9: Nhấn chuột trái vào nút "Cancel"
B10: Nhấn chuột trái vào nút "Confirm"
B11: Nhấn chuột trái vào "Account"
B12: Nhấn chuột trái vào "Order"
B13: Nhấn chuột trái vào "Pending"</t>
  </si>
  <si>
    <t>Thanh toán qua VNPAY
[Sai thông tin thẻ]</t>
  </si>
  <si>
    <t>B1: Nhấn chuột trái vào ô nhập "Enter card number".
B2: Nhập mã thẻ.
B3: Nhấn chuột trái vào ô nhập "Enter card holder".
B4: Nhập tên chủ thẻ.
B5: Nhấn chuột trái vào ô nhập "MM/YY".
B6: Nhập ngày hết hạn của thẻ.
B7: Nhấn chuột trái vào nút "Continue".
B8: Nhấn chuột trái vào nút "Agree&amp;Continue"
B9: Nhấn chuột trái vào nút "Cancel"
B10: Nhấn chuột trái vào nút "Confirm"
B11: Nhấn chuột trái vào "Account"
B12: Nhấn chuột trái vào "Order"
B13: Nhấn chuột trái vào "Pending"</t>
  </si>
  <si>
    <t>Thanh toán qua VNPAY
[Nhập thẻ sai quá 3 lần]</t>
  </si>
  <si>
    <t>B1: Nhấn chuột trái vào ô nhập "Enter card number".
B2: Nhập mã thẻ bị khoá.
B3: Nhấn chuột trái vào ô nhập "Enter card holder".
B4: Nhập tên chủ thẻ bị khoá.
B5: Nhấn chuột trái vào ô nhập "MM/YY".
B6: Nhập ngày hết hạn của thẻ bị khoá.
B7: Nhấn chuột trái vào nút "Continue".
B8: Nhấn chuột trái vào nút "Agree&amp;Continue"
B9: Nhấn chuột trái vào nút "Continue" thêm 2 lần nữa
B10: Nhấn chuột trái vào nút "Cancel"
B11: Nhấn chuột trái vào nút "Confirm"
B12: Nhấn chuột trái vào "Account"
B13: Nhấn chuột trái vào "Order"
B14: Nhấn chuột trái vào "Pending"</t>
  </si>
  <si>
    <t>Thanh toán qua VNPAY
[Thông tin thẻ đúng - Sai OTP]</t>
  </si>
  <si>
    <t>B1: Nhấn chuột trái vào ô nhập "Enter card number".
B2: Nhập mã thẻ hợp lệ.
B3: Nhấn chuột trái vào ô nhập "Enter card holder".
B4: Nhập tên chủ thẻ hợp lệ.
B5: Nhấn chuột trái vào ô nhập "MM/YY".
B6: Nhập ngày hết hạn của thẻ hợp lệ.
B7: Nhấn chuột trái vào nút "Continue".
B8: Nhấn chuột trái vào nút "Agree&amp;Continue".
B9: Nhấp chuột trái vào ô nhập "Enter OTP".
B10: Nhập OTP sai.
B11: Nhấn chuột trái vào nút "Confirm"
B12: Nhấn chuột trái vào nút "Cancel".
B13: Nhấn chuột trái vào nút "Confirm".
B14: Nhấn chuột trái vào "Account".
B15: Nhấn chuột trái vào "Order".
B16: Nhấn chuột trái vào "Pending".</t>
  </si>
  <si>
    <t>Thanh toán qua VNPAY
[Thông tin thẻ đúng - Sai OTP quá 3 lần]</t>
  </si>
  <si>
    <t>B1: Nhấn chuột trái vào ô nhập "Enter card number".
B2: Nhập mã thẻ hợp lệ.
B3: Nhấn chuột trái vào ô nhập "Enter card holder".
B4: Nhập tên chủ thẻ hợp lệ.
B5: Nhấn chuột trái vào ô nhập "MM/YY".
B6: Nhập ngày hết hạn của thẻ hợp lệ.
B7: Nhấn chuột trái vào nút "Continue".
B8: Nhấn chuột trái vào nút "Agree&amp;Continue".
B9: Nhấp chuột trái vào ô nhập "Enter OTP".
B10: Nhập OTP sai.
B11: Nhấn chuột trái vào nút "Confirm" 3 lần
B12: Nhấn chuột trái vào nút "Cancel".
B13: Nhấn chuột trái vào nút "Confirm".
B14: Nhấn chuột trái vào "Account".
B15: Nhấn chuột trái vào "Order".
B16: Nhấn chuột trái vào "Pending".</t>
  </si>
  <si>
    <t>Thanh toán qua VNPAY
[Thông tin thẻ đúng - Đúng OTP]</t>
  </si>
  <si>
    <t>B1: Nhấn chuột trái vào ô nhập "Enter card number".
B2: Nhập mã thẻ hợp lệ.
B3: Nhấn chuột trái vào ô nhập "Enter card holder".
B4: Nhập tên chủ thẻ hợp lệ.
B5: Nhấn chuột trái vào ô nhập "MM/YY".
B6: Nhập ngày hết hạn của thẻ hợp lệ.
B7: Nhấn chuột trái vào nút "Continue".
B8: Nhấn chuột trái vào nút "Agree&amp;Continue".
B9: Nhấp chuột trái vào ô nhập "Enter OTP".
B10: Nhập OTP hợp lệ.
B11: Nhấn chuột trái vào nút "Confirm"
B14: Nhấn chuột trái vào "Account".
B15: Nhấn chuột trái vào "Order".
B16: Nhấn chuột trái vào "Pending".</t>
  </si>
  <si>
    <t>MH026</t>
  </si>
  <si>
    <t>MH027</t>
  </si>
  <si>
    <t>MH028</t>
  </si>
  <si>
    <t>MH029</t>
  </si>
  <si>
    <t>MH030</t>
  </si>
  <si>
    <t>MH031</t>
  </si>
  <si>
    <t>MH032</t>
  </si>
  <si>
    <t>MH033</t>
  </si>
  <si>
    <t>MH034</t>
  </si>
  <si>
    <t>TGH017</t>
  </si>
  <si>
    <t>B1: Nhấn chuột trái vào ô nhập "What are you thinking?"
B2: Nhập bình luận
B3: Nhấn chuột trái vào nút "Share"</t>
  </si>
  <si>
    <t>TGH018</t>
  </si>
  <si>
    <t>- Đã đăng nhập tài khoản.
- Đã vào trang chi tiết sản phẩm.</t>
  </si>
  <si>
    <t>- Đã vào trang chi tiết sản phẩm.</t>
  </si>
  <si>
    <t>Viết bình luận sản phẩm.
[Chưa đăng nhập]</t>
  </si>
  <si>
    <t>Viết bình luận sản phẩm.
[Đã đăng nhập]</t>
  </si>
  <si>
    <t>Huỷ đơn
[Từ chối]</t>
  </si>
  <si>
    <t>- Đã đăng nhập tài khoản.
- Đã có đơn đặt hàng.
- Đã vào trang Account - Order - Pending</t>
  </si>
  <si>
    <t>Người dùng huỷ đơn hàng</t>
  </si>
  <si>
    <t>B1: Di chuột vào đơn hàng muốn xoá
B2: Nhấn chuột trái vào nút "Cancelled"
B3: Nhấn chuột trái vào nút "Cancel"</t>
  </si>
  <si>
    <t>B1: Di chuột vào đơn hàng muốn xoá
B2: Nhấn chuột trái vào nút "Cancelled"
B3: Nhấn chuột trái vào nút "OK"
B4: Nhấn chuột trái vào nút "Cancelled"</t>
  </si>
  <si>
    <t>Huỷ đơn
[Đồng ý]</t>
  </si>
  <si>
    <t>HD001</t>
  </si>
  <si>
    <t>HD002</t>
  </si>
  <si>
    <t>Nguyễn Phát Hưng1</t>
  </si>
  <si>
    <t>Nhấn vào nút "Buy now" từ tìm kiếm sản phẩm
[Tài khoản khách]</t>
  </si>
  <si>
    <t>Thêm nhiều sản phẩm vào giỏ hàng bằng nút "Buy now" từ tìm kiếm sản phẩm
[Tài khoản khách]</t>
  </si>
  <si>
    <t>Nhấn vào nút "Add cart" từ tìm kiếm sản phẩm
[Tài khoản khách]</t>
  </si>
  <si>
    <t>Thêm nhiều sản phẩm vào giỏ hàng bằng nút "Add cart" từ tìm kiếm sản phẩm
[Tài khoản khách]</t>
  </si>
  <si>
    <t>Lưu giỏ hàng
[Tài khoản khách]</t>
  </si>
  <si>
    <t>- Đã đăng nhập tài khoản khách hàng.
- Có sản phẩm trong hệ thống.</t>
  </si>
  <si>
    <t>B1: Nhấp chuột trái vào ô search.
B2: Điền tên sản phẩm có trong hệ thống.
B3: Nhấn chuột trái vào kính lúp hoặc nhấn phím Enter.
B4: Rê chuột vào sản phẩm muốn thêm
B5: Nhấn chuột trái vào nút "Buy now".
B6: Nhấn chuột trái vào nút "ADD TO CART".
B7: Nhấn chuột trái vào nút "OK".
B8: Nhấn chuột trái vào "Cart"</t>
  </si>
  <si>
    <t>B1: Nhấp chuột trái vào ô search.
B2: Điền tên sản phẩm có trong hệ thống.
B3: Nhấn chuột trái vào kính lúp hoặc nhấn phím Enter.
B4: Rê chuột vào sản phẩm muốn thêm
B5: Nhấn chuột trái vào nút "Buy now".
B6: Nhấn chuột trái vào nút "ADD TO CART".
B7: Nhấn chuột trái vào nút "OK".
B8: Lặp lại B1.
** Sau khi thêm hoàn tất
B9: Nhấn chuột trái vào "Cart"</t>
  </si>
  <si>
    <t>B1: Nhấp chuột trái vào ô search.
B2: Điền tên sản phẩm có trong hệ thống.
B3: Nhấn chuột trái vào kính lúp hoặc nhấn phím Enter.
B4: Rê chuột vào sản phẩm muốn thêm
B5: Nhấn chuột trái vào nút "Add Cart".
B6: Nhấn chuột trái vào nút "OK".
B7: Nhấn chuột trái vào "Cart"</t>
  </si>
  <si>
    <t>B1: Nhấp chuột trái vào ô search.
B2: Điền tên sản phẩm có trong hệ thống.
B3: Nhấn chuột trái vào kính lúp hoặc nhấn phím Enter.
B4: Rê chuột vào sản phẩm muốn thêm
B5: Nhấn chuột trái vào nút "Add Cart".
B6: Nhấn chuột trái vào nút "OK".
B7: Lặp lại B1.
** Sau khi thêm hoàn tất
B8: Nhấn chuột trái vào "Cart"</t>
  </si>
  <si>
    <t>B1: Rê chuột vào sản phẩm muốn thêm.
B2: Nhấn chuột trái vào nút "Buy now".
B3: Nhấn chuột trái vào nút "ADD TO CART".
B4: Nhấn chuột trái vào nút "OK".
B5: Nhấn chuột trái vào "Cart"
B6: Nhấn chuột trái vào "Account".
B7: Nhấn chuột trái vào "Logout".
B8: Nhấn chuột trái vào "Login".
B9: Nhấn chuột trái vào ô nhập "Email" và điền tài khoản email.
B10: Nhấn chuột trái vào ô nhập "Password" và điền mật khẩu.
B11: Nhấn chuột trái vào nút "SIGN IN"
B12: Nhấn chuột trái vào "Cart".</t>
  </si>
  <si>
    <t>TGH019</t>
  </si>
  <si>
    <t>TGH020</t>
  </si>
  <si>
    <t>TGH021</t>
  </si>
  <si>
    <t>TGH022</t>
  </si>
  <si>
    <t>TGH023</t>
  </si>
  <si>
    <t>TGH024</t>
  </si>
  <si>
    <t>TGH025</t>
  </si>
  <si>
    <t>TGH026</t>
  </si>
  <si>
    <t>TGH027</t>
  </si>
  <si>
    <t>TGH028</t>
  </si>
  <si>
    <t>B1: Nhấp chuột trái vào ô search và điền tên sản phẩm.
B2: Nhấn chuột trái vào kính lúp hoặc nhấn phím Enter.</t>
  </si>
  <si>
    <t>Thêm nhiều sản phẩm vào giỏ hàng bằng nút "Buy now" từ tìm kiếm sản phẩm
[Tài khoản admin]</t>
  </si>
  <si>
    <t>Nhấn vào nút "Add cart" từ tìm kiếm sản phẩm
[Tài khoản admin]</t>
  </si>
  <si>
    <t>Thêm nhiều sản phẩm vào giỏ hàng bằng nút "Add cart" từ tìm kiếm sản phẩm
[Tài khoản admin]</t>
  </si>
  <si>
    <t>Lưu giỏ hàng
[Tài khoản admin]</t>
  </si>
  <si>
    <t>Nhấn vào nút "Buy now" từ tìm kiếm sản phẩm
[Tài khoản admin]</t>
  </si>
  <si>
    <t>Passed</t>
  </si>
  <si>
    <t>Failed</t>
  </si>
  <si>
    <t>Tăng số lượng sản phẩm</t>
  </si>
  <si>
    <t>Giảm số lượng sản phẩm
[Số lượng sản phẩm trước đó lớn hơn 1]</t>
  </si>
  <si>
    <t>Giảm số lượng sản phẩm
[Số lượng sản phẩm trước đó bằng 1]</t>
  </si>
  <si>
    <t>MH035</t>
  </si>
  <si>
    <t>MH036</t>
  </si>
  <si>
    <t>MH037</t>
  </si>
  <si>
    <t>- Đã đăng nhập vào tài khoản.
- Có sản phẩm trong giỏ hàng.
- Đã vào trang Cart.</t>
  </si>
  <si>
    <t>B1: Nhấn chuột trái vào nút "+".</t>
  </si>
  <si>
    <t>B1: Nhấn chuột trái vào nút "-".</t>
  </si>
  <si>
    <t>- Đã đăng nhập vào tài khoản.
- Có sản phẩm trong giỏ hàng.
- Số lượng trên từng sản phẩm phải lớn hơn 1.
- Đã vào trang Cart.</t>
  </si>
  <si>
    <t>MH038</t>
  </si>
  <si>
    <t>MH039</t>
  </si>
  <si>
    <t>MH040</t>
  </si>
  <si>
    <t>Nhập số lượng sản phẩm
[Số lượng là số âm]</t>
  </si>
  <si>
    <t>Nhập số lượng sản phẩm
[Số lượng vượt quá tồn kho]</t>
  </si>
  <si>
    <t>Nhập số lượng sản phẩm
[Số lượng nằm trong khoảng tồn kho]</t>
  </si>
  <si>
    <t>B1: Nhấn chuột trái vào ô số lượng.
B2: Nhập số lượng là số âm.
B3: Nhấn phím "Enter".</t>
  </si>
  <si>
    <t>B1: Nhấn chuột trái vào ô số lượng.
B2: Nhập số lượng vượt quá số lượng tồn kho.
B3: Nhấn phím "Enter".</t>
  </si>
  <si>
    <t>B1: Nhấn chuột trái vào ô số lượng.
B2: Nhập số lượng nằm trong khoảng tồn kho.
B3: Nhấn phím "Enter".</t>
  </si>
  <si>
    <t>Nhập mã khuyến mãi đã hết số lượng</t>
  </si>
  <si>
    <t>- Đã đăng nhập tài khoản.
- Có sản phẩm trong giỏ hàng.
- Có mã khuyến mãi trong hệ thống.
- Đã vào trang Cart.</t>
  </si>
  <si>
    <t>B1: Nhấn chuột trái vào khung "Nhập mã khuyến mãi…".
B2: Nhập mã khuyến mãi đã hết.
B3: Nhấn chuột trái vào nút "Add".</t>
  </si>
  <si>
    <t>Chọn mã khuyến mãi đã hết số lượng</t>
  </si>
  <si>
    <t>B1: Nhấn chuột trái vào "Select Your Voucher".
B2: Rê chuột vào mã khuyến mãi đã hết.
B3: Nhấn chuột trái vào nút "Add".</t>
  </si>
  <si>
    <t>MH041</t>
  </si>
  <si>
    <t>MH042</t>
  </si>
  <si>
    <t>Tổng cộng</t>
  </si>
  <si>
    <t>Đã làm</t>
  </si>
  <si>
    <t>Tỷ lệ hoàn thiện</t>
  </si>
  <si>
    <t>Đặt đơn hàng.
[Dùng mã khuyến mãi không tồn tại]</t>
  </si>
  <si>
    <t>Đặt đơn hàng.
[Dùng mã khuyến mãi đã hết số lượng]</t>
  </si>
  <si>
    <t>MH043</t>
  </si>
  <si>
    <t>MH044</t>
  </si>
  <si>
    <t>- Đã đăng nhập tài khoản.
- Có sản phẩm trong giỏ hàng.
- Đã vào trang Cart.
- Đầy đủ thông tin trong phần "Giao tới".
- Dùng mã khuyến mãi đã hết số lượng [MH019, MH024].</t>
  </si>
  <si>
    <t>- Đã đăng nhập tài khoản.
- Có sản phẩm trong giỏ hàng.
- Đã vào trang Cart.
- Đầy đủ thông tin trong phần "Giao tới".
- Dùng mã khuyến mãi không tồn tại [MH020].</t>
  </si>
  <si>
    <t>Đặt đơn hàng
[Tài khoản đã có thông tin]</t>
  </si>
  <si>
    <t>- Đã đăng nhập tài khoản đã có thông tin.
- Có sản phẩm trong giỏ hàng.
- Đã vào trang Cart.</t>
  </si>
  <si>
    <t>MH045</t>
  </si>
  <si>
    <t>Kiểm tra giá tiền khi thanh toán qua VNPAY.
[Dùng mã khuyến mãi đã hết số lượng]</t>
  </si>
  <si>
    <t>Kiểm tra giá tiền khi thanh toán qua VNPAY.
[Dùng mã khuyến mãi không tồn tại]</t>
  </si>
  <si>
    <t>- Đã đăng nhập tài khoản.
- Có sản phẩm trong giỏ hàng.
- Đã vào trang Cart.
- Đầy đủ thông tin trong phần "Giao tới".
- Dùng mã khuyến mãi hợp lệ [MH016, MH021].</t>
  </si>
  <si>
    <t>- Đã đăng nhập tài khoản.
- Có sản phẩm trong giỏ hàng.
- Đã vào trang Cart.
- Đầy đủ thông tin trong phần "Giao tới".
- Dùng mã khuyến mãi hết hạn [MH017, MH022].</t>
  </si>
  <si>
    <t>- Đã đăng nhập tài khoản.
- Có sản phẩm trong giỏ hàng.
- Đã vào trang Cart.
- Đầy đủ thông tin trong phần "Giao tới".
- Dùng mã khuyến mãi giảm quá giá tiền sản phẩm [MH018, MH023].</t>
  </si>
  <si>
    <t>MH046</t>
  </si>
  <si>
    <t>MH047</t>
  </si>
  <si>
    <t>Hoàn thành</t>
  </si>
  <si>
    <t>B1: Nhấn chuột trái vào nút "Continue".
B9: Nhấn chuột trái vào nút "Cancel"
B10: Nhấn chuột trái vào nút "Confirm"
B11: Nhấn chuột trái vào "Account"
B12: Nhấn chuột trái vào "Order"
B13: Nhấn chuột trái vào "Pending"</t>
  </si>
  <si>
    <t>Thanh toán qua VNPAY
[Không nhập thông tin]</t>
  </si>
  <si>
    <t>Tìm kiếm không có sản phẩm trong hệ thống.</t>
  </si>
  <si>
    <t>Thêm nhiều sản phẩm vào giỏ hàng bằng nút "Buy now" trang HOME.
[Tài khoản khách]</t>
  </si>
  <si>
    <t>Thêm nhiều sản phẩm vào giỏ hàng bằng nút "Buy now" trang HOME.
[Tài khoản admin]</t>
  </si>
  <si>
    <t>- Đã đăng nhập tài khoản.
- Có sản phẩm trong giỏ hàng.
- Đã vào trang Cart.</t>
  </si>
  <si>
    <t>- Đã đăng nhập tài khoản.
- Có sản phẩm trong giỏ hàng.
- Đã vào trang Cart.
- Đầy đủ thông tin trong phần "Giao tới".
-  Đã nhấn chuột trái vào nút "Check Payment".</t>
  </si>
  <si>
    <t>Còn đơn hàng trong Pending_x000D_
Không tìm thấy dơn hàng trong Cancelled</t>
  </si>
  <si>
    <t>Không tìm thấy dơn hàng trong Pending_x000D_
Tìm thấy đơn hàng trong Cancelled</t>
  </si>
  <si>
    <t>Còn đơn hàng trong Pending [Sai]_x000D_
Không tìm thấy dơn hàng trong Cancelled [Sai]</t>
  </si>
  <si>
    <t>Không hiện hoặc hiện ô thông báo đặt hàng thành công quá lâu!</t>
  </si>
  <si>
    <t>* Phần giao tới có thông tin:_x000D_
- Name: COD - 190726204414_x000D_
- Phone: 0903112202_x000D_
- Address: TP.Hồ Chí Minh_x000D_
_x000D_
* Sản phẩm mua: _x000D_
- Samsung Galaxy Watch 6 Classic 43mm Bluetooth - Số lượng: 1 - Giá: 371_x000D_
_x000D_
* Mã khuyến mãi sử dụng: OUTOFSALE</t>
  </si>
  <si>
    <t>Hiện thông báo:_x000D_
The order was checked out successful_x000D_
_x000D_
Có đơn hàng có thông tin như sau:_x000D_
- Name: COD - 190726204414_x000D_
- Phone: 0903112202_x000D_
- Address: TP.Hồ Chí Minh_x000D_
_x000D_
Chi tiết đơn hàng có:_x000D_
- Samsung Galaxy Watch 6 Classic 43mm Bluetooth - Số lượng: 1 - Giá: 371_x000D_
_x000D_
Total: 371_x000D_
Voucher: 0_x000D_
Discount Rank: 18.55_x000D_
Total paid: 352.45</t>
  </si>
  <si>
    <t>* Phần giao tới có thông tin:_x000D_
- Name: COD - 190726204706_x000D_
- Phone: 0903112202_x000D_
- Address: TP.Hồ Chí Minh_x000D_
_x000D_
* Sản phẩm mua: _x000D_
- JBL Quantum 400 - Số lượng: 1 - Giá: 102_x000D_
_x000D_
* Mã khuyến mãi sử dụng: NotExist</t>
  </si>
  <si>
    <t>Hiện thông báo:_x000D_
The order was checked out successful_x000D_
_x000D_
Có đơn hàng có thông tin như sau:_x000D_
- Name: COD - 190726204706_x000D_
- Phone: 0903112202_x000D_
- Address: TP.Hồ Chí Minh_x000D_
_x000D_
Chi tiết đơn hàng có:_x000D_
- JBL Quantum 400 - Số lượng: 1 - Giá: 102_x000D_
_x000D_
Total: 102_x000D_
Voucher: 0_x000D_
Discount Rank: 5.1_x000D_
Total paid: 96.9</t>
  </si>
  <si>
    <t>Hiện thông báo: _x000D_
The order was checked out successful_x000D_
_x000D_
[Không tìm thấy đơn hàng]</t>
  </si>
  <si>
    <t>Lỗi giao dịch không xác định.</t>
  </si>
  <si>
    <t>Thông báo lỗi trên trang VNPAY là: Incorrect card information</t>
  </si>
  <si>
    <t>Thông báo lỗi trên trang VNPAY là: Your account does not have enough balance for the transaction</t>
  </si>
  <si>
    <t>Thông báo lỗi trên trang VNPAY là: Your card hasn’t been active</t>
  </si>
  <si>
    <t>Thông báo lỗi trên trang VNPAY là: Card expires</t>
  </si>
  <si>
    <t>Thông báo lỗi trên trang VNPAY là: Card locked</t>
  </si>
  <si>
    <t xml:space="preserve">Thông báo lỗi trên trang VNPAY là: </t>
  </si>
  <si>
    <t>Lỗi giao dịch</t>
  </si>
  <si>
    <t>Sản phẩm đã ở mức thấp nhất nên không thể hạ hơn được nữa.</t>
  </si>
  <si>
    <t>Sản phẩm mua gồm:</t>
  </si>
  <si>
    <t>Mã hết hạn không được sử dụng</t>
  </si>
  <si>
    <t>Mã giảm quá tiền sản phẩm_x000D_
--&gt; Chủ shop phải trả tiền cho khách hàng (Không hợp lý)_x000D_
--&gt; Mã không được sử dụng</t>
  </si>
  <si>
    <t>Hết mã để sử dụng</t>
  </si>
  <si>
    <t>Không tìm thấy voucher.</t>
  </si>
  <si>
    <t>Thông tin người mua hàng với thông tin cá nhân trùng khớp</t>
  </si>
  <si>
    <t>Phần giao tới hiện nội dung sau: _x000D_
- Name: Hưng _x000D_
- Phone: 09031122002_x000D_
- Address: TP.Hồ Chí Minh</t>
  </si>
  <si>
    <t>Phần giao tới hiện nội dung sau:_x000D_
- Name: Hưng_x000D_
- Phone: 09031122002_x000D_
- Address: TP.Hồ Chí Minh</t>
  </si>
  <si>
    <t>Dưới ô nhập của Name báo lỗi:_x000D_
The nick name field is required.</t>
  </si>
  <si>
    <t>Dưới ô nhập của Address báo lỗi:_x000D_
The address field is required.</t>
  </si>
  <si>
    <t>Dưới ô nhập của Addresss báo lỗi:_x000D_
The address field is required.</t>
  </si>
  <si>
    <t>Phần chỉnh sửa thông tin có những nội dung sau: _x000D_
- Name: Have Info _x000D_
- Phone: 0901234567_x000D_
- Address: Hồ Chí Minh</t>
  </si>
  <si>
    <t>Phần chỉnh sửa thông tin có những nội dung sau: _x000D_
- Name: Hưng _x000D_
- Phone: 09031122002_x000D_
- Address: TP.Hồ Chí Minh</t>
  </si>
  <si>
    <t>Phần chỉnh sửa thông tin có những nội dung sau:_x000D_
- Name: Hưng [Sai - Phải là: No Info]_x000D_
- Phone không được lưu lại_x000D_
- Address không được lưu lại</t>
  </si>
  <si>
    <t>Hiện thông báo lỗi với nội dung là: _x000D_
Oops... _x000D_
You dont have fill out your information to checkout</t>
  </si>
  <si>
    <t>Hiện thông báo lỗi với nội dung là: _x000D_
Oops... _x000D_
You dont have fill out your information to check payment</t>
  </si>
  <si>
    <t>Hiện thông báo lỗi với nội dung là: _x000D_
Oops... _x000D_
You dont have fill out your information to checkout [Sai]</t>
  </si>
  <si>
    <t>Thêm sản phẩm đó vào giỏ hàng.</t>
  </si>
  <si>
    <t>Hiện trang báo lỗi với nội dung:_x000D_
compact(): Undefined variable $nameRank</t>
  </si>
  <si>
    <t xml:space="preserve"> - iPhone 15 Plus</t>
  </si>
  <si>
    <t>Trong giỏ hàng có chứa sản phẩm:_x000D_
- iPhone 15 Plus</t>
  </si>
  <si>
    <t>Trong giỏ hàng có chứa sản phẩm:_x000D_
- iPhone 15 Plus - Số lượng: 1</t>
  </si>
  <si>
    <t xml:space="preserve"> - Samsung Galaxy Watch 5 Pro</t>
  </si>
  <si>
    <t>Trong giỏ hàng có chứa sản phẩm:_x000D_
- Samsung Galaxy Watch 5 Pro</t>
  </si>
  <si>
    <t xml:space="preserve"> - JBL Tune 770NC</t>
  </si>
  <si>
    <t>Trong giỏ hàng có chứa sản phẩm:_x000D_
- JBL Tune 770NC</t>
  </si>
  <si>
    <t>Tổng số lượng hàng hoá trong trang yêu thích không khớp với số hiển thị trên icon Yêu thích!</t>
  </si>
  <si>
    <t>Thêm sản phẩm đó vào giỏ hàng sau đó đăng xuất rồi đăng nhập lại để xem có lưu lại giỏ hàng không.</t>
  </si>
  <si>
    <t>Giỏ hàng lưu đủ sản phẩm</t>
  </si>
  <si>
    <t>Sản phẩm được chọn để thêm bình luận</t>
  </si>
  <si>
    <t>- Đã nhảy ra khỏi trang sản phẩm được thêm bình luận!</t>
  </si>
  <si>
    <t>Xiaomi</t>
  </si>
  <si>
    <t>Hiện trang trắng.</t>
  </si>
  <si>
    <t>Đơn hàng có thông tin như sau:_x000D_
- Name: COD - 190726203841_x000D_
- Phone: 0903112202_x000D_
- Address: TP.Hồ Chí Minh_x000D_
_x000D_
Chi tiết đơn hàng có:_x000D_
- Apple MacBook Air M2 - Số lượng: 1 - Giá: 1320_x000D_
_x000D_
Total: 66_x000D_
Voucher: 100_x000D_
Discount Rank: 1154_x000D_
Total Paid: 1154</t>
  </si>
  <si>
    <t>* Phần giao tới có thông tin:_x000D_
- Name: COD - 190726231008_x000D_
- Phone: 0903112202_x000D_
- Address: TP.Hồ Chí Minh_x000D_
_x000D_
* Sản phẩm mua: _x000D_
- JBL Tune 770NC - Số lượng: 1 - Giá: 144_x000D_
_x000D_
* Mã khuyến mãi sử dụng: SALE10</t>
  </si>
  <si>
    <t>Hiện thông báo:_x000D_
The order was checked out successful_x000D_
_x000D_
Có đơn hàng có thông tin như sau:_x000D_
- Name: COD - 190726231008_x000D_
- Phone: 0903112202_x000D_
- Address: TP.Hồ Chí Minh_x000D_
_x000D_
Chi tiết đơn hàng có:_x000D_
- JBL Tune 770NC - Số lượng: 1 - Giá: 144_x000D_
_x000D_
Total: 144_x000D_
Voucher: 10_x000D_
Discount Rank: 7.2_x000D_
Total paid: 126.8</t>
  </si>
  <si>
    <t>* Phần giao tới có thông tin:_x000D_
- Name: Have Info_x000D_
- Phone: 0901234567_x000D_
- Address: Hồ Chí Minh_x000D_
_x000D_
* Sản phẩm mua: _x000D_
- Samsung Galaxy S21 FE 5G - Số lượng: 1 - Giá: 474</t>
  </si>
  <si>
    <t>Hiện thông báo:_x000D_
The order was checked out successful_x000D_
_x000D_
Có đơn hàng có thông tin như sau:_x000D_
- Name: Have Info_x000D_
- Phone: 0901234567_x000D_
- Address: Hồ Chí Minh_x000D_
_x000D_
Chi tiết đơn hàng có:_x000D_
- Samsung Galaxy S21 FE 5G - Số lượng: 1 - Giá: 474_x000D_
_x000D_
Total: 474_x000D_
Voucher: 0_x000D_
Discount Rank: 23.7_x000D_
Total paid: 450.3</t>
  </si>
  <si>
    <t>Không vào được trang thanh toán</t>
  </si>
  <si>
    <t>* Phần giao tới có thông tin:_x000D_
- Name: BANK - 190726231941_x000D_
- Phone: 0903112202_x000D_
- Address: TP.Hồ Chí Minh_x000D_
_x000D_
* Sản phẩm mua: _x000D_
- Apple MacBook Pro 16 inch M2 - Số lượng: 1 - Giá: 2721_x000D_
_x000D_
* Mã khuyến mãi sử dụng: SALEEXPIRED_x000D_
_x000D_
* Thông tin thẻ thanh toán_x000D_
- Số thẻ: 9704198526191432190_x000D_
- Tên chủ thẻ: NGUYEN VAN A_x000D_
- Ngày phát hành thẻ: 07/15</t>
  </si>
  <si>
    <t>Không có đơn hàng với thông tin như sau:_x000D_
- Name: BANK - 190726231941_x000D_
- Phone: 0903112202_x000D_
- Address: TP.Hồ Chí Minh_x000D_
_x000D_
Chi tiết đơn hàng có:_x000D_
- Apple MacBook Pro 16 inch M2 - Số lượng: 1 - Giá: 2721_x000D_
_x000D_
Total: 2721_x000D_
Voucher: 0_x000D_
Discount Rank: 0_x000D_
Total paid: 2584.95</t>
  </si>
  <si>
    <t xml:space="preserve">* Phần giao tới có thông tin:_x000D_
- Name: BANK - 190726232350_x000D_
- Phone: 0903112202_x000D_
- Address: TP.Hồ Chí Minh_x000D_
_x000D_
* Sản phẩm mua: _x000D_
- Apple Watch Series 7 41mm - Số lượng: 1 - Giá: 495_x000D_
_x000D_
* Thông tin thẻ thanh toán_x000D_
- Số thẻ: 9704193370791314_x000D_
- Tên chủ thẻ: NGUYEN VAN A_x000D_
- Ngày phát hành thẻ: 07/15_x000D_
- Mã OTP: </t>
  </si>
  <si>
    <t>Không có đơn hàng với thông tin như sau:_x000D_
- Name: BANK - 190726232350_x000D_
- Phone: 0903112202_x000D_
- Address: TP.Hồ Chí Minh_x000D_
_x000D_
Chi tiết đơn hàng có:_x000D_
- Apple Watch Series 7 41mm - Số lượng: 1 - Giá: 495_x000D_
_x000D_
Total: 495_x000D_
Voucher: 0_x000D_
Discount Rank: 0_x000D_
Total paid: 470.25</t>
  </si>
  <si>
    <t>* Phần giao tới có thông tin:_x000D_
- Name: BANK - 190726232457_x000D_
- Phone: 0903112202_x000D_
- Address: TP.Hồ Chí Minh_x000D_
_x000D_
* Sản phẩm mua: _x000D_
- Samsung Galaxy S21 FE 5G - Số lượng: 1 - Giá: 474_x000D_
_x000D_
* Mã khuyến mãi sử dụng: SALEEXPIRED</t>
  </si>
  <si>
    <t>Không có đơn hàng với thông tin như sau:_x000D_
- Name: BANK - 190726232457_x000D_
- Phone: 0903112202_x000D_
- Address: TP.Hồ Chí Minh_x000D_
_x000D_
Chi tiết đơn hàng có:_x000D_
- Samsung Galaxy S21 FE 5G - Số lượng: 1 - Giá: 474_x000D_
_x000D_
Total: 474_x000D_
Voucher: 0_x000D_
Discount Rank: 0_x000D_
Total paid: 450.3</t>
  </si>
  <si>
    <t>Sản phẩm mua gồm:- iPhone 12 Pro - Số lượng: 2 - Giá tiền: 1113</t>
  </si>
  <si>
    <t>Trong giỏ hàng có chứa sản phẩm:_x000D_
- iPhone 12 Pro - Số lượng: 1 - Giá tiền: 1113_x000D_
_x000D_
 Tạm tính: 1113</t>
  </si>
  <si>
    <t>Sản phẩm mua gồm:- iPhone 12 - Số lượng: 1 - Giá tiền: 742</t>
  </si>
  <si>
    <t>Trong giỏ hàng có chứa sản phẩm:_x000D_
- iPhone 12 - Số lượng: 1 - Giá tiền: 742_x000D_
_x000D_
 Tạm tính: 742</t>
  </si>
  <si>
    <t>* Mã khuyến mãi sử dụng: SALEOVERPRICE_x000D_
_x000D_
* Sản phẩm mua:_x000D_
- (Laptop LG Gram 2023 14Z90RS-G.AH54A5, 1601)</t>
  </si>
  <si>
    <t>Phần thanh toán hiển thị như sau:_x000D_
Tạm tính: 1601_x000D_
Hạng Đồng: -80.05_x000D_
Giảm giá: 0_x000D_
Tổng tiền: 1520.95</t>
  </si>
  <si>
    <t>Phần thanh toán hiển thị như sau:_x000D_
Tạm tính: 1601_x000D_
Hạng Đồng: -80.05_x000D_
Giảm giá: -10000000 [Sai - Phải là 0]_x000D_
Voucher: Sale 10000000 [Sai - Phải là không có voucher]_x000D_
Tổng tiền: -9998479.05 [Sai - Phải là 1520.95]</t>
  </si>
  <si>
    <t>* Mã khuyến mãi sử dụng: NotExist_x000D_
_x000D_
* Sản phẩm mua:_x000D_
- (Apple Watch Series 7 45mm, 536)</t>
  </si>
  <si>
    <t>Phần thanh toán hiển thị như sau:_x000D_
Tạm tính: 536_x000D_
Hạng Đồng: -26.8_x000D_
Giảm giá: 0_x000D_
Tổng tiền: 509.2</t>
  </si>
  <si>
    <t>Sản phẩm mua gồm: _x000D_
- Samsung Galaxy S23 Ultra 5G</t>
  </si>
  <si>
    <t>Sản phẩm mua gồm: _x000D_
- Samsung Galaxy S21 FE 5G_x000D_
_x000D_
Thông tin người mua hàng:_x000D_
- Name: Hưng_x000D_
- Phone: 09031122002_x000D_
- Address: TP.Hồ Chí Minh</t>
  </si>
  <si>
    <t>Dưới ô nhập của Phone báo lỗi:_x000D_
The phone field is required.</t>
  </si>
  <si>
    <t>Sản phẩm mua gồm: _x000D_
- Samsung Galaxy S22_x000D_
_x000D_
Thông tin người mua hàng:_x000D_
- Name: Hưng_x000D_
- Phone: 09031122002</t>
  </si>
  <si>
    <t>Sản phẩm mua gồm: _x000D_
- JBL Tune 520BT</t>
  </si>
  <si>
    <t xml:space="preserve"> - JBL Tune 230 TWS_x000D_
 - iPhone 15 Pro Max_x000D_
 - iPhone 14 Plus</t>
  </si>
  <si>
    <t>Trong giỏ hàng có chứa sản phẩm:_x000D_
- JBL Tune 230 TWS_x000D_
- iPhone 15 Pro Max_x000D_
- iPhone 14 Plus</t>
  </si>
  <si>
    <t>Không tìm thấy sản phẩm "JBL Tune 230 TWS" dù đã có trên hệ thống!</t>
  </si>
  <si>
    <t xml:space="preserve"> - Samsung Galaxy S21 5G</t>
  </si>
  <si>
    <t>Trong giỏ hàng có chứa sản phẩm:_x000D_
- Samsung Galaxy S21 5G</t>
  </si>
  <si>
    <t xml:space="preserve"> - Apple Watch Series 7 41mm_x000D_
 - Laptop LG Gram 2021 14Z90P-G.AH75A5 14 inch_x000D_
 - Samsung Galaxy Watch 5 44mm LTE</t>
  </si>
  <si>
    <t>Trong giỏ hàng có chứa sản phẩm:_x000D_
- Apple Watch Series 7 41mm_x000D_
- Laptop LG Gram 2021 14Z90P-G.AH75A5 14 inch_x000D_
- Samsung Galaxy Watch 5 44mm LTE</t>
  </si>
  <si>
    <t>Trong giỏ hàng có chứa sản phẩm:_x000D_
- Apple Watch Series 7 41mm - Số lượng: 1_x000D_
- Laptop LG Gram 2021 14Z90P-G.AH75A5 14 inch - Số lượng: 1_x000D_
- Samsung Galaxy Watch 5 44mm LTE - Số lượng: 1</t>
  </si>
  <si>
    <t xml:space="preserve"> - Apple Macbook Pro 16 inch M1 Max</t>
  </si>
  <si>
    <t>Trong giỏ hàng có chứa sản phẩm:_x000D_
- Apple Macbook Pro 16 inch M1 Max</t>
  </si>
  <si>
    <t xml:space="preserve"> - iPhone 14 Pro</t>
  </si>
  <si>
    <t>Trong giỏ hàng có chứa sản phẩm:_x000D_
- iPhone 14 Pro</t>
  </si>
  <si>
    <t xml:space="preserve"> - JBL Wave Beam</t>
  </si>
  <si>
    <t>Trong giỏ hàng có chứa sản phẩm:_x000D_
- JBL Wave Beam</t>
  </si>
  <si>
    <t xml:space="preserve"> - Apple Watch Series 8 41mm_x000D_
 - Samsung Galaxy S22 Ultra_x000D_
 - Samsung Galaxy S21 FE 5G</t>
  </si>
  <si>
    <t>Trong giỏ hàng có chứa sản phẩm:_x000D_
- Apple Watch Series 8 41mm_x000D_
- Samsung Galaxy S22 Ultra_x000D_
- Samsung Galaxy S21 FE 5G</t>
  </si>
  <si>
    <t>- Sản phẩm được thêm bình luận: JBL Tune 670NC_x000D_
- Nội dung: Test Comment</t>
  </si>
  <si>
    <t>- Ở lại trang sản phẩm JBL Tune 670NC_x000D_
- Thêm được bình luận có nội dung: Test Comment</t>
  </si>
  <si>
    <t>Apple Macbook Pro 16 inch M3 Max</t>
  </si>
  <si>
    <t>Hiển thị 1 sản phẩm có chứa tên "Apple Macbook Pro 16 inch M3 Max".</t>
  </si>
  <si>
    <t>IpHoNe 13 PrO</t>
  </si>
  <si>
    <t>Hiển thị 2 sản phẩm có chứa tên "iPhone 13 Pro".</t>
  </si>
  <si>
    <t>45mm</t>
  </si>
  <si>
    <t>Hiển thị 3 sản phẩm có chứa tên "45mm".</t>
  </si>
  <si>
    <t>JbL</t>
  </si>
  <si>
    <t>Hiển thị 18 sản phẩm có chứa tên "JBL".</t>
  </si>
  <si>
    <t>Có 1 sản phẩm không chứa tên: "Samsung Galaxy Buds 2 Pro".</t>
  </si>
  <si>
    <t>- Laptop LG Gram 2023 14ZD90R-G.AX52A5</t>
  </si>
  <si>
    <t>Trong giỏ hàng đã xoá các sản phẩm: _x000D_
- Laptop LG Gram 2023 14ZD90R-G.AX52A5</t>
  </si>
  <si>
    <t>- Laptop LG Gram 2023 14Z90R-G.AH75A5_x000D_
- Samsung Galaxy S23 FE 5G_x000D_
- Samsung Galaxy Buds 2 Pro</t>
  </si>
  <si>
    <t>Trong giỏ hàng đã xoá các sản phẩm: _x000D_
- Laptop LG Gram 2023 14Z90R-G.AH75A5_x000D_
- Samsung Galaxy S23 FE 5G_x000D_
- Samsung Galaxy Buds 2 Pro</t>
  </si>
  <si>
    <t>Đơn hàng có thông tin như sau:_x000D_
- Name: COD - 190726204414_x000D_
- Phone: 0903112202_x000D_
- Address: TP.Hồ Chí Minh_x000D_
_x000D_
Chi tiết đơn hàng có:_x000D_
- Samsung Galaxy Watch 6 Classic 43mm Bluetooth - Số lượng: 1 - Giá: 371_x000D_
_x000D_
Total: 19_x000D_
Voucher: 100_x000D_
Discount Rank: 252_x000D_
Total Paid: 252</t>
  </si>
  <si>
    <t>* Phần giao tới có thông tin:_x000D_
- Name: COD - 200726003614_x000D_
- Phone: 0903112202_x000D_
- Address: TP.Hồ Chí Minh_x000D_
_x000D_
* Sản phẩm mua: _x000D_
- JBL Quantum One - Số lượng: 1 - Giá: 226_x000D_
_x000D_
* Mã khuyến mãi sử dụng: NotExist</t>
  </si>
  <si>
    <t>Hiện thông báo:_x000D_
The order was checked out successful_x000D_
_x000D_
Có đơn hàng có thông tin như sau:_x000D_
- Name: COD - 200726003614_x000D_
- Phone: 0903112202_x000D_
- Address: TP.Hồ Chí Minh_x000D_
_x000D_
Chi tiết đơn hàng có:_x000D_
- JBL Quantum One - Số lượng: 1 - Giá: 226_x000D_
_x000D_
Total: 226_x000D_
Voucher: 0_x000D_
Discount Rank: 11.3_x000D_
Total paid: 214.7</t>
  </si>
  <si>
    <t>* Phần giao tới có thông tin:_x000D_
- Name: COD - 200726003903_x000D_
- Phone: 0903112202_x000D_
- Address: TP.Hồ Chí Minh_x000D_
_x000D_
* Sản phẩm mua: _x000D_
- Samsung Galaxy S23 Plus - Số lượng: 1 - Giá: 1113_x000D_
_x000D_
* Mã khuyến mãi sử dụng: SALEEXPIRED</t>
  </si>
  <si>
    <t>Hiện thông báo:_x000D_
The order was checked out successful_x000D_
_x000D_
Có đơn hàng có thông tin như sau:_x000D_
- Name: COD - 200726003903_x000D_
- Phone: 0903112202_x000D_
- Address: TP.Hồ Chí Minh_x000D_
_x000D_
Chi tiết đơn hàng có:_x000D_
- Samsung Galaxy S23 Plus - Số lượng: 1 - Giá: 1113_x000D_
_x000D_
Total: 1113_x000D_
Voucher: 0_x000D_
Discount Rank: 55.65_x000D_
Total paid: 1057.35</t>
  </si>
  <si>
    <t>* Phần giao tới có thông tin:_x000D_
- Name: COD - 200726004116_x000D_
- Phone: 0903112202_x000D_
- Address: TP.Hồ Chí Minh_x000D_
_x000D_
* Sản phẩm mua: _x000D_
- Apple Macbook Pro 13 inch M2 - Số lượng: 1 - Giá: 1484_x000D_
_x000D_
* Mã khuyến mãi sử dụng: SALEOVERPRICE</t>
  </si>
  <si>
    <t>Hiện thông báo:_x000D_
The order was checked out successful_x000D_
_x000D_
Có đơn hàng có thông tin như sau:_x000D_
- Name: COD - 200726004116_x000D_
- Phone: 0903112202_x000D_
- Address: TP.Hồ Chí Minh_x000D_
_x000D_
Chi tiết đơn hàng có:_x000D_
- Apple Macbook Pro 13 inch M2 - Số lượng: 1 - Giá: 1484_x000D_
_x000D_
Total: 1484_x000D_
Voucher: 0_x000D_
Discount Rank: 74.2_x000D_
Total paid: 1409.8</t>
  </si>
  <si>
    <t>* Phần giao tới có thông tin:_x000D_
- Name: BANK - 200726004604_x000D_
- Phone: 0903112202_x000D_
- Address: TP.Hồ Chí Minh_x000D_
_x000D_
* Sản phẩm mua: _x000D_
- JBL Tour Pro 2 - Số lượng: 1 - Giá: 247_x000D_
_x000D_
* Mã khuyến mãi sử dụng: NotExist_x000D_
_x000D_
* Thông tin thẻ thanh toán_x000D_
- Số thẻ: 9704198526191432198_x000D_
- Tên chủ thẻ: NGUYEN VAN A_x000D_
- Ngày phát hành thẻ: 07/15</t>
  </si>
  <si>
    <t>Có đơn hàng với thông tin như sau:_x000D_
- Name: BANK - 200726004604_x000D_
- Phone: 0903112202_x000D_
- Address: TP.Hồ Chí Minh_x000D_
_x000D_
Chi tiết đơn hàng có:_x000D_
- JBL Tour Pro 2 - Số lượng: 1 - Giá: 247_x000D_
_x000D_
Total: 247_x000D_
Voucher: 0_x000D_
Discount Rank: 0_x000D_
Total paid: 234.65</t>
  </si>
  <si>
    <t>* Phần giao tới có thông tin:_x000D_
- Name: BANK - 200726004718_x000D_
- Phone: 0903112202_x000D_
- Address: TP.Hồ Chí Minh_x000D_
_x000D_
* Sản phẩm mua: _x000D_
- Apple Macbook Pro 14 inch M3 Max - Số lượng: 1 - Giá: 3298_x000D_
_x000D_
* Mã khuyến mãi sử dụng: SALE10_x000D_
_x000D_
* Thông tin thẻ thanh toán_x000D_
- Số thẻ: 9704198526191432198_x000D_
- Tên chủ thẻ: NGUYEN VAN A_x000D_
- Ngày phát hành thẻ: 07/15</t>
  </si>
  <si>
    <t>Có đơn hàng với thông tin như sau:_x000D_
- Name: BANK - 200726004718_x000D_
- Phone: 0903112202_x000D_
- Address: TP.Hồ Chí Minh_x000D_
_x000D_
Chi tiết đơn hàng có:_x000D_
- Apple Macbook Pro 14 inch M3 Max - Số lượng: 1 - Giá: 3298_x000D_
_x000D_
Total: 3298_x000D_
Voucher: 10_x000D_
Discount Rank: 0_x000D_
Total paid: 3123.1</t>
  </si>
  <si>
    <t>* Phần giao tới có thông tin:_x000D_
- Name: BANK - 200726004845_x000D_
- Phone: 0903112202_x000D_
- Address: TP.Hồ Chí Minh_x000D_
_x000D_
* Sản phẩm mua: _x000D_
- Apple Watch SE 2 40mm - Số lượng: 1 - Giá: 264_x000D_
_x000D_
* Mã khuyến mãi sử dụng: NotExist_x000D_
_x000D_
* Thông tin thẻ thanh toán_x000D_
- Số thẻ: 9704198526191432198_x000D_
- Tên chủ thẻ: NGUYEN VAN A_x000D_
- Ngày phát hành thẻ: 07/15</t>
  </si>
  <si>
    <t>Có đơn hàng với thông tin như sau:_x000D_
- Name: BANK - 200726004845_x000D_
- Phone: 0903112202_x000D_
- Address: TP.Hồ Chí Minh_x000D_
_x000D_
Chi tiết đơn hàng có:_x000D_
- Apple Watch SE 2 40mm - Số lượng: 1 - Giá: 264_x000D_
_x000D_
Total: 264_x000D_
Voucher: 0_x000D_
Discount Rank: 0_x000D_
Total paid: 250.8</t>
  </si>
  <si>
    <t xml:space="preserve">* Phần giao tới có thông tin:_x000D_
- Name: BANK - 200726005119_x000D_
- Phone: 0903112202_x000D_
- Address: TP.Hồ Chí Minh_x000D_
_x000D_
* Sản phẩm mua: _x000D_
- Apple Macbook Pro 16 inch M1 Max - Số lượng: 1 - Giá: 3833_x000D_
_x000D_
* Mã khuyến mãi sử dụng: NotExist_x000D_
_x000D_
* Thông tin thẻ thanh toán_x000D_
- Số thẻ: 9704195798459170488_x000D_
- Tên chủ thẻ: NGUYEN VAN A_x000D_
- Ngày phát hành thẻ: 07/15_x000D_
- Mã OTP: </t>
  </si>
  <si>
    <t>Không có đơn hàng với thông tin như sau:_x000D_
- Name: BANK - 200726005119_x000D_
- Phone: 0903112202_x000D_
- Address: TP.Hồ Chí Minh_x000D_
_x000D_
Chi tiết đơn hàng có:_x000D_
- Apple Macbook Pro 16 inch M1 Max - Số lượng: 1 - Giá: 3833_x000D_
_x000D_
Total: 3833_x000D_
Voucher: 0_x000D_
Discount Rank: 0_x000D_
Total paid: 3641.35</t>
  </si>
  <si>
    <t xml:space="preserve">* Phần giao tới có thông tin:_x000D_
- Name: BANK - 200726005233_x000D_
- Phone: 0903112202_x000D_
- Address: TP.Hồ Chí Minh_x000D_
_x000D_
* Sản phẩm mua: _x000D_
- Laptop LG Gram 2023 15Z90RT-G.AH55A5 - Số lượng: 1 - Giá: 1766_x000D_
_x000D_
* Mã khuyến mãi sử dụng: OUTOFSALE_x000D_
_x000D_
* Thông tin thẻ thanh toán_x000D_
- Số thẻ: 9704192181368742_x000D_
- Tên chủ thẻ: NGUYEN VAN A_x000D_
- Ngày phát hành thẻ: 07/15_x000D_
- Mã OTP: </t>
  </si>
  <si>
    <t>Không có đơn hàng với thông tin như sau:_x000D_
- Name: BANK - 200726005233_x000D_
- Phone: 0903112202_x000D_
- Address: TP.Hồ Chí Minh_x000D_
_x000D_
Chi tiết đơn hàng có:_x000D_
- Laptop LG Gram 2023 15Z90RT-G.AH55A5 - Số lượng: 1 - Giá: 1766_x000D_
_x000D_
Total: 1766_x000D_
Voucher: 0_x000D_
Discount Rank: 0_x000D_
Total paid: 1677.7</t>
  </si>
  <si>
    <t xml:space="preserve">* Phần giao tới có thông tin:_x000D_
- Name: BANK - 200726005358_x000D_
- Phone: 0903112202_x000D_
- Address: TP.Hồ Chí Minh_x000D_
_x000D_
* Sản phẩm mua: _x000D_
- Samsung Galaxy S23 Ultra - Số lượng: 1 - Giá: 2000_x000D_
_x000D_
* Mã khuyến mãi sử dụng: OUTOFSALE_x000D_
_x000D_
* Thông tin thẻ thanh toán_x000D_
- Số thẻ: 9704194841945513_x000D_
- Tên chủ thẻ: NGUYEN VAN A_x000D_
- Ngày phát hành thẻ: 07/15_x000D_
- Mã OTP: </t>
  </si>
  <si>
    <t>Không có đơn hàng với thông tin như sau:_x000D_
- Name: BANK - 200726005358_x000D_
- Phone: 0903112202_x000D_
- Address: TP.Hồ Chí Minh_x000D_
_x000D_
Chi tiết đơn hàng có:_x000D_
- Samsung Galaxy S23 Ultra - Số lượng: 1 - Giá: 2000_x000D_
_x000D_
Total: 2000_x000D_
Voucher: 0_x000D_
Discount Rank: 0_x000D_
Total paid: 1900</t>
  </si>
  <si>
    <t>* Phần giao tới có thông tin:_x000D_
- Name: BANK - 200726005708_x000D_
- Phone: 0903112202_x000D_
- Address: TP.Hồ Chí Minh_x000D_
_x000D_
* Sản phẩm mua: _x000D_
- JBL Quantum 400 - Số lượng: 1 - Giá: 102_x000D_
_x000D_
* Thông tin thẻ thanh toán_x000D_
- Số thẻ: 9704198526191432190_x000D_
- Tên chủ thẻ: NGUYEN VAN A_x000D_
- Ngày phát hành thẻ: 07/15</t>
  </si>
  <si>
    <t>Không có đơn hàng với thông tin như sau:_x000D_
- Name: BANK - 200726005708_x000D_
- Phone: 0903112202_x000D_
- Address: TP.Hồ Chí Minh_x000D_
_x000D_
Chi tiết đơn hàng có:_x000D_
- JBL Quantum 400 - Số lượng: 1 - Giá: 102_x000D_
_x000D_
Total: 102_x000D_
Voucher: 0_x000D_
Discount Rank: 0_x000D_
Total paid: 96.9</t>
  </si>
  <si>
    <t>* Phần giao tới có thông tin:_x000D_
- Name: BANK - 200726005815_x000D_
- Phone: 0903112202_x000D_
- Address: TP.Hồ Chí Minh_x000D_
_x000D_
* Sản phẩm mua: _x000D_
- Laptop LG Gram 2023 16Z90RS-G.AH54A5 - Số lượng: 1 - Giá: 1807</t>
  </si>
  <si>
    <t>*Giá trị quy đổi ngày 20/07/2026: 1 USD = 26,290.2 VNĐ_x000D_
- 1,716.65 USD = 45,131,071.83 VNĐ.</t>
  </si>
  <si>
    <t>Payment amount: 45,131,072 VND</t>
  </si>
  <si>
    <t>* Phần giao tới có thông tin:_x000D_
- Name: BANK - 200726005933_x000D_
- Phone: 0903112202_x000D_
- Address: TP.Hồ Chí Minh_x000D_
_x000D_
* Sản phẩm mua: _x000D_
- Laptop LG Gram 2023 14ZD90R-G.AX51A5 - Số lượng: 1 - Giá: 1191_x000D_
_x000D_
* Mã khuyến mãi sử dụng: SALE10</t>
  </si>
  <si>
    <t>*Giá trị quy đổi ngày 20/07/2026: 1 USD = 26,290.2 VNĐ_x000D_
- 1,121.45 USD = 29,483,144.79 VNĐ.</t>
  </si>
  <si>
    <t>Payment amount: 29,483,145 VND</t>
  </si>
  <si>
    <t>* Phần giao tới có thông tin:_x000D_
- Name: BANK - 200726010054_x000D_
- Phone: 0903112202_x000D_
- Address: TP.Hồ Chí Minh_x000D_
_x000D_
* Sản phẩm mua: _x000D_
- Laptop LG Gram 2IN1 14T90R-G.AH55A5 - Số lượng: 1 - Giá: 1766_x000D_
_x000D_
* Mã khuyến mãi sử dụng: SALEEXPIRED</t>
  </si>
  <si>
    <t>*Giá trị quy đổi ngày 20/07/2026: 1 USD = 26,290.2 VNĐ_x000D_
- 1,677.7 USD = 44,107,068.54 VNĐ.</t>
  </si>
  <si>
    <t>Payment amount: 44,107,069 VND</t>
  </si>
  <si>
    <t>* Phần giao tới có thông tin:_x000D_
- Name: BANK - 200726010213_x000D_
- Phone: 0903112202_x000D_
- Address: TP.Hồ Chí Minh_x000D_
_x000D_
* Sản phẩm mua: _x000D_
- iPhone 12 Pro - Số lượng: 1 - Giá: 1113_x000D_
_x000D_
* Mã khuyến mãi sử dụng: SALEOVERPRICE</t>
  </si>
  <si>
    <t>*Giá trị quy đổi ngày 20/07/2026: 1 USD = 26,290.2 VNĐ_x000D_
- 1,057.35 USD = 27,797,942.97 VNĐ.</t>
  </si>
  <si>
    <t>Payment amount: 27,797,943 VND</t>
  </si>
  <si>
    <t>* Phần giao tới có thông tin:_x000D_
- Name: BANK - 200726010333_x000D_
- Phone: 0903112202_x000D_
- Address: TP.Hồ Chí Minh_x000D_
_x000D_
* Sản phẩm mua: _x000D_
- Apple Watch SE 40mm LTE - Số lượng: 1 - Giá: 371_x000D_
_x000D_
* Mã khuyến mãi sử dụng: OUTOFSALE</t>
  </si>
  <si>
    <t>*Giá trị quy đổi ngày 20/07/2026: 1 USD = 26,290.2 VNĐ_x000D_
- 352.45 USD = 9,265,980.99 VNĐ.</t>
  </si>
  <si>
    <t>Payment amount: 9,265,981 VND</t>
  </si>
  <si>
    <t>* Phần giao tới có thông tin:_x000D_
- Name: BANK - 200726010451_x000D_
- Phone: 0903112202_x000D_
- Address: TP.Hồ Chí Minh_x000D_
_x000D_
* Sản phẩm mua: _x000D_
- Samsung Galaxy Buds 2 Pro - Số lượng: 1 - Giá: 207_x000D_
_x000D_
* Mã khuyến mãi sử dụng: NotExist</t>
  </si>
  <si>
    <t>*Giá trị quy đổi ngày 20/07/2026: 1 USD = 26,290.2 VNĐ_x000D_
- 196.65 USD = 5,169,967.83 VNĐ.</t>
  </si>
  <si>
    <t>Payment amount: 5,169,968 VND</t>
  </si>
  <si>
    <t>Sản phẩm mua gồm:- Samsung Galaxy Z Fold 5 - Số lượng: 1 - Giá tiền: 1689</t>
  </si>
  <si>
    <t>Trong giỏ hàng có chứa sản phẩm:_x000D_
- Samsung Galaxy Z Fold 5 - Số lượng: 2 - Giá tiền: 3378_x000D_
_x000D_
 Tạm tính: 3378</t>
  </si>
  <si>
    <t>Trong giỏ hàng có chứa sản phẩm:_x000D_
- Samsung Galaxy Z Fold 5 - Số lượng: 1 [Sai - Phải là 2] - Giá tiền: 1689 [Sai - Phải là: 3378]_x000D_
_x000D_
 Tạm tính: 1689 [Sai - Phải là: 3378]</t>
  </si>
  <si>
    <t>Trong giỏ hàng có chứa sản phẩm:_x000D_
- Apple Watch SE 40mm - Số lượng: 1 - Giá tiền: 310- Apple Watch SE 40mm - Số lượng: 1 - Giá tiền: 310_x000D_
_x000D_
 Tạm tính: 310</t>
  </si>
  <si>
    <t>Trong giỏ hàng có chứa sản phẩm:_x000D_
- Apple Watch SE 40mm - Số lượng: -3 [Sai - Phải là 1] - Giá tiền: 310_x000D_
_x000D_
 Tạm tính: 310</t>
  </si>
  <si>
    <t>Trong giỏ hàng có chứa sản phẩm:_x000D_
- Laptop LG Gram 2023 17ZD90R-G.AX73A5 - Số lượng: 1 - Giá tiền: 1766- Laptop LG Gram 2023 17ZD90R-G.AX73A5 - Số lượng: 1 - Giá tiền: 1766_x000D_
_x000D_
 Tạm tính: 1766</t>
  </si>
  <si>
    <t>Trong giỏ hàng có chứa sản phẩm:_x000D_
- Laptop LG Gram 2023 17ZD90R-G.AX73A5 - Số lượng: 899 [Sai - Phải là 1] - Giá tiền: 1766_x000D_
_x000D_
 Tạm tính: 1766</t>
  </si>
  <si>
    <t>Trong giỏ hàng có chứa sản phẩm:_x000D_
- JBL Tune Flex - Số lượng: 10 - Giá tiền: 1110- JBL Tune Flex - Số lượng: 10 - Giá tiền: 1110_x000D_
_x000D_
 Tạm tính: 1110</t>
  </si>
  <si>
    <t>Trong giỏ hàng có chứa sản phẩm:_x000D_
- JBL Tune Flex - Số lượng: 10 - Giá tiền: 111 [Sai - Phải là: 1110]_x000D_
_x000D_
 Tạm tính: 111 [Sai - Phải là: 1110]</t>
  </si>
  <si>
    <t>* Mã khuyến mãi sử dụng: SALE10_x000D_
_x000D_
* Sản phẩm mua:_x000D_
- (Samsung Galaxy S23 Plus, 1113)</t>
  </si>
  <si>
    <t>Phần thanh toán hiển thị như sau:_x000D_
Tạm tính: 1113_x000D_
Hạng Đồng: -55.65_x000D_
Giảm giá: -10_x000D_
Voucher: Sale 10_x000D_
Tổng tiền: 1047.35</t>
  </si>
  <si>
    <t>Phần thanh toán hiển thị như sau:_x000D_
Tạm tính: 1113_x000D_
Hạng Đồng: -55.65_x000D_
Giảm giá: 0 [Sai - Phải là -10]_x000D_
Voucher:  [Sai - Phải là Sale 10]_x000D_
Tổng tiền: 1057.35 [Sai - Phải là 1047.35]</t>
  </si>
  <si>
    <t>* Mã khuyến mãi sử dụng: SALEEXPIRED_x000D_
_x000D_
* Sản phẩm mua:_x000D_
- (Samsung Galaxy S23 Plus, 1113)</t>
  </si>
  <si>
    <t>Phần thanh toán hiển thị như sau:_x000D_
Tạm tính: 1113_x000D_
Hạng Đồng: -55.65_x000D_
Giảm giá: 0_x000D_
Tổng tiền: 1057.35</t>
  </si>
  <si>
    <t>Phần thanh toán hiển thị như sau:_x000D_
Tạm tính: 1113_x000D_
Hạng Đồng: -55.65_x000D_
Giảm giá: -100 [Sai - Phải là 0]_x000D_
Voucher: Sale Expired [Sai - Phải là không có voucher]_x000D_
Tổng tiền: 957.35 [Sai - Phải là 1057.35]</t>
  </si>
  <si>
    <t>* Mã khuyến mãi sử dụng: OUTOFSALE_x000D_
_x000D_
* Sản phẩm mua:_x000D_
- (Apple Macbook Pro 13 inch M2, 1484)</t>
  </si>
  <si>
    <t>Phần thanh toán hiển thị như sau:_x000D_
Tạm tính: 1484_x000D_
Hạng Đồng: -74.2_x000D_
Giảm giá: 0_x000D_
Tổng tiền: 1409.8</t>
  </si>
  <si>
    <t>Phần thanh toán hiển thị như sau:_x000D_
Tạm tính: 1484_x000D_
Hạng Đồng: -74.2_x000D_
Giảm giá: -100 [Sai - Phải là 0]_x000D_
Voucher: Out Of Sale [Sai - Phải là không có voucher]_x000D_
Tổng tiền: 1309.8 [Sai - Phải là 1409.8]</t>
  </si>
  <si>
    <t>* Mã khuyến mãi sử dụng: SALE10_x000D_
_x000D_
* Sản phẩm mua:_x000D_
- (Laptop LG Gram 2023 16Z90R-E.AH75A5, 2053)</t>
  </si>
  <si>
    <t>Phần thanh toán hiển thị như sau:_x000D_
Tạm tính: 2053_x000D_
Hạng Đồng: -102.65_x000D_
Giảm giá: -10_x000D_
Voucher: Sale 10_x000D_
Tổng tiền: 1940.35</t>
  </si>
  <si>
    <t>* Mã khuyến mãi sử dụng: SALEEXPIRED_x000D_
_x000D_
* Sản phẩm mua:_x000D_
- (Laptop LG Gram 2023 14ZD90R-G.AX51A5, 1191)</t>
  </si>
  <si>
    <t>Không có voucher để chọn_x000D_
_x000D_
Phần thanh toán hiển thị như sau:_x000D_
Tạm tính: 1191_x000D_
Hạng Đồng: -59.55_x000D_
Giảm giá: 0_x000D_
Tổng tiền: 1131.45</t>
  </si>
  <si>
    <t>Phần thanh toán hiển thị như sau:_x000D_
Tạm tính: 1191_x000D_
Hạng Đồng: -59.55_x000D_
Giảm giá: -100 [Sai - Phải là 0]_x000D_
Voucher: Sale Expired [Sai - Phải là không có voucher]_x000D_
Tổng tiền: 1031.45 [Sai - Phải là 1131.45]</t>
  </si>
  <si>
    <t>* Mã khuyến mãi sử dụng: SALEOVERPRICE_x000D_
_x000D_
* Sản phẩm mua:_x000D_
- (JBL Tune 500, 101)</t>
  </si>
  <si>
    <t>Phần thanh toán hiển thị như sau:_x000D_
Tạm tính: 101_x000D_
Hạng Đồng: -5.05_x000D_
Giảm giá: 0_x000D_
Tổng tiền: 95.95</t>
  </si>
  <si>
    <t>Phần thanh toán hiển thị như sau:_x000D_
Tạm tính: 101_x000D_
Hạng Đồng: -5.05_x000D_
Giảm giá: -10000000 [Sai - Phải là 0]_x000D_
Voucher: Sale 10000000 [Sai - Phải là không có voucher]_x000D_
Tổng tiền: -9999904.05 [Sai - Phải là 95.95]</t>
  </si>
  <si>
    <t>* Mã khuyến mãi sử dụng: OUTOFSALE_x000D_
_x000D_
* Sản phẩm mua:_x000D_
- (Apple Watch SE 2 40mm, 264)</t>
  </si>
  <si>
    <t>Không có voucher để chọn_x000D_
_x000D_
Phần thanh toán hiển thị như sau:_x000D_
Tạm tính: 264_x000D_
Hạng Đồng: -13.2_x000D_
Giảm giá: 0_x000D_
Tổng tiền: 250.8</t>
  </si>
  <si>
    <t>Phần thanh toán hiển thị như sau:_x000D_
Tạm tính: 264_x000D_
Hạng Đồng: -13.2_x000D_
Giảm giá: -100 [Sai - Phải là 0]_x000D_
Voucher: Out Of Sale [Sai - Phải là không có voucher]_x000D_
Tổng tiền: 150.8 [Sai - Phải là 250.8]</t>
  </si>
  <si>
    <t>Sản phẩm mua gồm: _x000D_
- JBL Tune 115 TWS_x000D_
_x000D_
Thông tin người mua hàng:_x000D_
- Phone: 09031122002_x000D_
- Address: TP.Hồ Chí Minh</t>
  </si>
  <si>
    <t>Sản phẩm mua gồm: _x000D_
- Apple Macbook Pro 14 inch M3_x000D_
_x000D_
Thông tin người mua hàng:_x000D_
- Name: Hưng_x000D_
- Address: TP.Hồ Chí Minh</t>
  </si>
  <si>
    <t>Sản phẩm mua gồm: _x000D_
- Laptop LG Gram 2023 16Z90RS-G.AH54A5</t>
  </si>
  <si>
    <t>Không hiện hoặc hiện quá lâu khung xác nhận.</t>
  </si>
  <si>
    <t>Sản phẩm mua gồm: _x000D_
- Samsung Galaxy S22_x000D_
_x000D_
Thông tin người mua hàng:_x000D_
- Name: Hưng_x000D_
- Phone: 09031122002_x000D_
- Address: TP.Hồ Chí Minh</t>
  </si>
  <si>
    <t>Sản phẩm mua gồm: _x000D_
- Laptop LG Gram 2023 14Z90RS-G.AH54A5</t>
  </si>
  <si>
    <t xml:space="preserve"> - iPhone 14 Plus</t>
  </si>
  <si>
    <t>Trong giỏ hàng có chứa sản phẩm:_x000D_
- iPhone 14 Plus</t>
  </si>
  <si>
    <t>Không tìm thấy sản phẩm "iPhone 14 Plus" dù đã có trên hệ thống!</t>
  </si>
  <si>
    <t xml:space="preserve"> - Apple Watch Series 7 41mm_x000D_
 - Laptop LG Gram 2021 14Z90P-G.AH75A5 14 inch_x000D_
 - Samsung Galaxy Watch 6 Classic 43mm Bluetooth</t>
  </si>
  <si>
    <t>Trong giỏ hàng có chứa sản phẩm:_x000D_
- Apple Watch Series 7 41mm_x000D_
- Laptop LG Gram 2021 14Z90P-G.AH75A5 14 inch_x000D_
- Samsung Galaxy Watch 6 Classic 43mm Bluetooth</t>
  </si>
  <si>
    <t xml:space="preserve"> - Apple Macbook Pro 13 inch M2_x000D_
 - iPhone 14_x000D_
 - iPhone 12</t>
  </si>
  <si>
    <t>Trong giỏ hàng có chứa sản phẩm:_x000D_
- Apple Macbook Pro 13 inch M2_x000D_
- iPhone 14_x000D_
- iPhone 12</t>
  </si>
  <si>
    <t>Trong giỏ hàng có chứa sản phẩm:_x000D_
- Apple Macbook Pro 13 inch M2 - Số lượng: 1_x000D_
- iPhone 14 - Số lượng: 1_x000D_
- iPhone 12 - Số lượng: 1</t>
  </si>
  <si>
    <t xml:space="preserve"> - Laptop LG Gram 2IN1 14T90R-G.AH55A5_x000D_
 - iPhone 15 Pro_x000D_
 - Apple Watch SE 44mm</t>
  </si>
  <si>
    <t>Trong giỏ hàng có chứa sản phẩm:_x000D_
- Laptop LG Gram 2IN1 14T90R-G.AH55A5_x000D_
- iPhone 15 Pro_x000D_
- Apple Watch SE 44mm</t>
  </si>
  <si>
    <t xml:space="preserve"> - JBL Tune 670NC_x000D_
 - Apple Watch SE 2 44mm_x000D_
 - Samsung Galaxy S23 Plus</t>
  </si>
  <si>
    <t>Trong giỏ hàng có chứa sản phẩm:_x000D_
- JBL Tune 670NC_x000D_
- Apple Watch SE 2 44mm_x000D_
- Samsung Galaxy S23 Plus</t>
  </si>
  <si>
    <t xml:space="preserve"> - Apple Watch Ultra 49mm</t>
  </si>
  <si>
    <t>Trong giỏ hàng có chứa sản phẩm:_x000D_
- Apple Watch Ultra 49mm</t>
  </si>
  <si>
    <t>Trong giỏ hàng có chứa sản phẩm:_x000D_
- Apple Watch Ultra 49mm - Số lượng: 1</t>
  </si>
  <si>
    <t xml:space="preserve"> - Apple MacBook Air M1</t>
  </si>
  <si>
    <t>Trong giỏ hàng có chứa sản phẩm:_x000D_
- Apple MacBook Air M1</t>
  </si>
  <si>
    <t xml:space="preserve"> - Apple Macbook Pro 14 inch M1_x000D_
 - Apple Watch Series 8 45mm_x000D_
 - Apple Macbook Pro 14 inch M3 Max</t>
  </si>
  <si>
    <t>Trong giỏ hàng có chứa sản phẩm:_x000D_
- Apple Macbook Pro 14 inch M1_x000D_
- Apple Watch Series 8 45mm_x000D_
- Apple Macbook Pro 14 inch M3 Max</t>
  </si>
  <si>
    <t xml:space="preserve"> - Apple Watch SE 44mm LTE_x000D_
 - JBL Tune 500_x000D_
 - JBL Tune 670NC</t>
  </si>
  <si>
    <t>Giỏ hàng không lưu sản phẩm nào</t>
  </si>
  <si>
    <t xml:space="preserve"> - Apple AirPods Pro Magsafe_x000D_
 - Apple Macbook Pro 16 inch M3_x000D_
 - Apple Watch Ultra 49mm</t>
  </si>
  <si>
    <t>- Sản phẩm được thêm bình luận: Samsung Galaxy Z Fold 5_x000D_
- Nội dung: Test Comment</t>
  </si>
  <si>
    <t>- Ở lại trang sản phẩm Samsung Galaxy Z Fold 5_x000D_
- Không có bình luận được thêm</t>
  </si>
  <si>
    <t>- Samsung Galaxy Watch 5 44mm</t>
  </si>
  <si>
    <t>Trong giỏ hàng đã xoá các sản phẩm: _x000D_
- Samsung Galaxy Watch 5 44mm</t>
  </si>
  <si>
    <t>- iPhone 12 Pro_x000D_
- Samsung Galaxy S22 Ultra_x000D_
- Apple Macbook Pro 14 inch M3</t>
  </si>
  <si>
    <t>Trong giỏ hàng đã xoá các sản phẩm: _x000D_
- iPhone 12 Pro_x000D_
- Samsung Galaxy S22 Ultra_x000D_
- Apple Macbook Pro 14 inch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</si>
</sst>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8"/>
      <name val="Aptos Narrow"/>
      <family val="2"/>
      <scheme val="minor"/>
    </font>
    <font>
      <b/>
      <sz val="20"/>
      <name val="Calibri"/>
      <family val="2"/>
    </font>
    <font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CAC3-B63D-4275-BCAB-6DDA79A3C71E}">
  <dimension ref="A1:P114"/>
  <sheetViews>
    <sheetView tabSelected="1" topLeftCell="C1" zoomScale="75" zoomScaleNormal="75" workbookViewId="0">
      <pane ySplit="4" topLeftCell="A5" activePane="bottomLeft" state="frozen"/>
      <selection pane="bottomLeft" activeCell="F95" sqref="F95"/>
    </sheetView>
  </sheetViews>
  <sheetFormatPr defaultColWidth="8.85546875" defaultRowHeight="18.75" x14ac:dyDescent="0.25"/>
  <cols>
    <col min="1" max="1" width="9.28515625" style="6" customWidth="1"/>
    <col min="2" max="2" width="76.28515625" style="9" customWidth="1"/>
    <col min="3" max="3" width="63.7109375" style="2" customWidth="1"/>
    <col min="4" max="4" width="61.85546875" style="2" customWidth="1"/>
    <col min="5" max="5" width="51.42578125" style="2" bestFit="1" customWidth="1"/>
    <col min="6" max="6" width="82.140625" style="2" customWidth="1"/>
    <col min="7" max="7" width="89.85546875" style="2" bestFit="1" customWidth="1"/>
    <col min="8" max="8" width="140" style="2" bestFit="1" customWidth="1"/>
    <col min="9" max="9" width="19.42578125" style="6" bestFit="1" customWidth="1"/>
    <col min="10" max="10" width="8.85546875" style="3"/>
    <col min="11" max="11" width="11.7109375" style="3" bestFit="1" customWidth="1"/>
    <col min="12" max="14" width="8.85546875" style="3"/>
    <col min="15" max="15" width="18.140625" style="3" bestFit="1" customWidth="1"/>
    <col min="16" max="16" width="15.85546875" style="3" customWidth="1"/>
    <col min="17" max="16384" width="8.85546875" style="3"/>
  </cols>
  <sheetData>
    <row r="1" spans="1:16" x14ac:dyDescent="0.25">
      <c r="A1" s="8" t="s">
        <v>0</v>
      </c>
      <c r="B1" s="10" t="s">
        <v>193</v>
      </c>
      <c r="C1" s="3"/>
      <c r="D1" s="3"/>
      <c r="E1" s="3"/>
      <c r="F1" s="3"/>
      <c r="G1" s="3"/>
      <c r="H1" s="3"/>
      <c r="I1" s="1"/>
      <c r="K1" s="6" t="s">
        <v>249</v>
      </c>
      <c r="L1" s="6">
        <f>COUNTA(A6:A11,A13:A41,A43:A47,A49:A96,A98:A99)</f>
        <v>86</v>
      </c>
      <c r="M1" s="6" t="s">
        <v>250</v>
      </c>
      <c r="N1" s="6">
        <f>COUNTA(I6:I11,I13:I41,I43:I47,I49:I96,I97:I99)</f>
        <v>80</v>
      </c>
      <c r="O1" s="6" t="s">
        <v>268</v>
      </c>
      <c r="P1" s="21">
        <f>N1/L1</f>
        <v>0.93023255813953487</v>
      </c>
    </row>
    <row r="2" spans="1:16" x14ac:dyDescent="0.25">
      <c r="A2" s="8" t="s">
        <v>1</v>
      </c>
      <c r="B2" s="10" t="s">
        <v>11</v>
      </c>
      <c r="C2" s="3"/>
      <c r="D2" s="3"/>
      <c r="E2" s="3"/>
      <c r="F2" s="3"/>
      <c r="G2" s="3"/>
      <c r="H2" s="3"/>
      <c r="I2" s="1"/>
      <c r="K2" s="6" t="s">
        <v>221</v>
      </c>
      <c r="L2" s="6">
        <f>COUNTIFS(I6:I11,"Passed")+COUNTIFS(I13:I41,"Passed")+COUNTIFS(I43:I47,"Passed")+COUNTIFS(I49:I96,"Passed")+COUNTIFS(I98:I99,"Passed")</f>
        <v>21</v>
      </c>
      <c r="M2" s="6" t="s">
        <v>222</v>
      </c>
      <c r="N2" s="6">
        <f>COUNTIFS(I6:I11, "Failed") + COUNTIFS(I13:I41, "Failed") + COUNTIFS(I43:I47, "Failed") + COUNTIFS(I49:I96, "Failed") + COUNTIFS(I98:I99, "Failed")</f>
        <v>59</v>
      </c>
      <c r="O2" s="6" t="s">
        <v>251</v>
      </c>
      <c r="P2" s="21">
        <f>IF(N1 = 0,0,L2/N1)</f>
        <v>0.26250000000000001</v>
      </c>
    </row>
    <row r="3" spans="1:16" ht="19.5" thickBot="1" x14ac:dyDescent="0.3">
      <c r="A3" s="1"/>
      <c r="B3" s="11"/>
      <c r="C3" s="3"/>
      <c r="D3" s="3"/>
      <c r="E3" s="3"/>
      <c r="F3" s="3"/>
      <c r="G3" s="3"/>
      <c r="H3" s="3"/>
      <c r="I3" s="1"/>
    </row>
    <row r="4" spans="1:16" s="1" customFormat="1" ht="42.75" thickBot="1" x14ac:dyDescent="0.3">
      <c r="A4" s="4" t="s">
        <v>2</v>
      </c>
      <c r="B4" s="5" t="s">
        <v>9</v>
      </c>
      <c r="C4" s="5" t="s">
        <v>3</v>
      </c>
      <c r="D4" s="5" t="s">
        <v>4</v>
      </c>
      <c r="E4" s="5" t="s">
        <v>5</v>
      </c>
      <c r="F4" s="5" t="s">
        <v>10</v>
      </c>
      <c r="G4" s="5" t="s">
        <v>6</v>
      </c>
      <c r="H4" s="5" t="s">
        <v>7</v>
      </c>
      <c r="I4" s="5" t="s">
        <v>8</v>
      </c>
    </row>
    <row r="5" spans="1:16" ht="26.25" x14ac:dyDescent="0.25">
      <c r="A5" s="23" t="s">
        <v>12</v>
      </c>
      <c r="B5" s="23"/>
      <c r="C5" s="23"/>
      <c r="D5" s="23"/>
      <c r="E5" s="23"/>
      <c r="F5" s="23"/>
      <c r="G5" s="23"/>
      <c r="H5" s="23"/>
      <c r="I5" s="23"/>
    </row>
    <row r="6" spans="1:16" ht="75" x14ac:dyDescent="0.25">
      <c r="A6" s="6" t="s">
        <v>13</v>
      </c>
      <c r="B6" s="9" t="s">
        <v>21</v>
      </c>
      <c r="C6" s="12" t="s">
        <v>19</v>
      </c>
      <c r="D6" s="7" t="s">
        <v>215</v>
      </c>
      <c r="E6" s="9" t="s">
        <v>371</v>
      </c>
      <c r="G6" s="2" t="s">
        <v>372</v>
      </c>
      <c r="H6" s="9" t="s">
        <v>372</v>
      </c>
      <c r="I6" s="6" t="s">
        <v>221</v>
      </c>
    </row>
    <row r="7" spans="1:16" ht="53.45" customHeight="1" x14ac:dyDescent="0.25">
      <c r="A7" s="6" t="s">
        <v>14</v>
      </c>
      <c r="B7" s="9" t="s">
        <v>20</v>
      </c>
      <c r="C7" s="12" t="s">
        <v>19</v>
      </c>
      <c r="D7" s="7" t="s">
        <v>215</v>
      </c>
      <c r="E7" s="9" t="s">
        <v>373</v>
      </c>
      <c r="G7" s="2" t="s">
        <v>374</v>
      </c>
      <c r="H7" s="9" t="s">
        <v>374</v>
      </c>
      <c r="I7" s="6" t="s">
        <v>221</v>
      </c>
    </row>
    <row r="8" spans="1:16" ht="75" x14ac:dyDescent="0.25">
      <c r="A8" s="6" t="s">
        <v>15</v>
      </c>
      <c r="B8" s="9" t="s">
        <v>22</v>
      </c>
      <c r="C8" s="12" t="s">
        <v>19</v>
      </c>
      <c r="D8" s="7" t="s">
        <v>215</v>
      </c>
      <c r="E8" s="2" t="s">
        <v>375</v>
      </c>
      <c r="G8" s="2" t="s">
        <v>376</v>
      </c>
      <c r="H8" s="9" t="s">
        <v>376</v>
      </c>
      <c r="I8" s="6" t="s">
        <v>221</v>
      </c>
    </row>
    <row r="9" spans="1:16" ht="75" x14ac:dyDescent="0.25">
      <c r="A9" s="6" t="s">
        <v>16</v>
      </c>
      <c r="B9" s="9" t="s">
        <v>23</v>
      </c>
      <c r="C9" s="12" t="s">
        <v>19</v>
      </c>
      <c r="D9" s="7" t="s">
        <v>215</v>
      </c>
      <c r="E9" s="2" t="s">
        <v>377</v>
      </c>
      <c r="G9" s="2" t="s">
        <v>378</v>
      </c>
      <c r="H9" s="2" t="s">
        <v>379</v>
      </c>
      <c r="I9" s="6" t="s">
        <v>222</v>
      </c>
    </row>
    <row r="10" spans="1:16" ht="75" x14ac:dyDescent="0.25">
      <c r="A10" s="6" t="s">
        <v>17</v>
      </c>
      <c r="B10" s="7" t="s">
        <v>271</v>
      </c>
      <c r="C10" s="7"/>
      <c r="D10" s="7" t="s">
        <v>215</v>
      </c>
      <c r="E10" s="2" t="s">
        <v>325</v>
      </c>
      <c r="G10" s="2" t="s">
        <v>326</v>
      </c>
      <c r="H10" s="2" t="s">
        <v>326</v>
      </c>
      <c r="I10" s="6" t="s">
        <v>221</v>
      </c>
    </row>
    <row r="11" spans="1:16" x14ac:dyDescent="0.25">
      <c r="B11" s="7"/>
      <c r="C11" s="7"/>
      <c r="D11" s="7"/>
    </row>
    <row r="12" spans="1:16" ht="26.25" x14ac:dyDescent="0.25">
      <c r="A12" s="24" t="s">
        <v>55</v>
      </c>
      <c r="B12" s="25"/>
      <c r="C12" s="25"/>
      <c r="D12" s="25"/>
      <c r="E12" s="25"/>
      <c r="F12" s="25"/>
      <c r="G12" s="25"/>
      <c r="H12" s="25"/>
      <c r="I12" s="26"/>
    </row>
    <row r="13" spans="1:16" ht="93.75" x14ac:dyDescent="0.25">
      <c r="A13" s="6" t="s">
        <v>18</v>
      </c>
      <c r="B13" s="7" t="s">
        <v>58</v>
      </c>
      <c r="C13" s="12" t="s">
        <v>48</v>
      </c>
      <c r="D13" s="7" t="s">
        <v>59</v>
      </c>
      <c r="E13" s="2" t="s">
        <v>458</v>
      </c>
      <c r="F13" s="2" t="s">
        <v>311</v>
      </c>
      <c r="G13" s="9" t="s">
        <v>459</v>
      </c>
      <c r="H13" s="9" t="s">
        <v>460</v>
      </c>
      <c r="I13" s="6" t="s">
        <v>222</v>
      </c>
    </row>
    <row r="14" spans="1:16" ht="131.25" x14ac:dyDescent="0.25">
      <c r="A14" s="6" t="s">
        <v>27</v>
      </c>
      <c r="B14" s="9" t="s">
        <v>272</v>
      </c>
      <c r="C14" s="12" t="s">
        <v>48</v>
      </c>
      <c r="D14" s="7" t="s">
        <v>60</v>
      </c>
      <c r="E14" s="9" t="s">
        <v>353</v>
      </c>
      <c r="F14" s="2" t="s">
        <v>311</v>
      </c>
      <c r="G14" s="9" t="s">
        <v>354</v>
      </c>
      <c r="H14" s="9" t="s">
        <v>355</v>
      </c>
      <c r="I14" s="6" t="s">
        <v>222</v>
      </c>
      <c r="P14" s="3">
        <v>2</v>
      </c>
    </row>
    <row r="15" spans="1:16" ht="93.75" x14ac:dyDescent="0.25">
      <c r="A15" s="6" t="s">
        <v>28</v>
      </c>
      <c r="B15" s="7" t="s">
        <v>61</v>
      </c>
      <c r="C15" s="12" t="s">
        <v>49</v>
      </c>
      <c r="D15" s="7" t="s">
        <v>62</v>
      </c>
      <c r="E15" s="2" t="s">
        <v>470</v>
      </c>
      <c r="F15" s="2" t="s">
        <v>311</v>
      </c>
      <c r="G15" s="9" t="s">
        <v>471</v>
      </c>
      <c r="H15" s="9" t="s">
        <v>472</v>
      </c>
      <c r="I15" s="6" t="s">
        <v>221</v>
      </c>
    </row>
    <row r="16" spans="1:16" ht="131.25" x14ac:dyDescent="0.25">
      <c r="A16" s="6" t="s">
        <v>29</v>
      </c>
      <c r="B16" s="9" t="s">
        <v>38</v>
      </c>
      <c r="C16" s="12" t="s">
        <v>49</v>
      </c>
      <c r="D16" s="7" t="s">
        <v>63</v>
      </c>
      <c r="E16" s="9"/>
      <c r="G16" s="9"/>
    </row>
    <row r="17" spans="1:9" ht="75" x14ac:dyDescent="0.25">
      <c r="A17" s="6" t="s">
        <v>30</v>
      </c>
      <c r="B17" s="7" t="s">
        <v>64</v>
      </c>
      <c r="C17" s="12" t="s">
        <v>26</v>
      </c>
      <c r="D17" s="7" t="s">
        <v>65</v>
      </c>
      <c r="G17" s="9"/>
      <c r="H17" s="9"/>
    </row>
    <row r="18" spans="1:9" ht="112.5" x14ac:dyDescent="0.25">
      <c r="A18" s="6" t="s">
        <v>31</v>
      </c>
      <c r="B18" s="9" t="s">
        <v>40</v>
      </c>
      <c r="C18" s="12" t="s">
        <v>49</v>
      </c>
      <c r="D18" s="7" t="s">
        <v>66</v>
      </c>
      <c r="E18" s="9"/>
      <c r="G18" s="9"/>
    </row>
    <row r="19" spans="1:9" ht="75" x14ac:dyDescent="0.25">
      <c r="A19" s="6" t="s">
        <v>32</v>
      </c>
      <c r="B19" s="7" t="s">
        <v>24</v>
      </c>
      <c r="C19" s="12" t="s">
        <v>50</v>
      </c>
      <c r="D19" s="7" t="s">
        <v>67</v>
      </c>
      <c r="G19" s="9"/>
      <c r="H19" s="9"/>
    </row>
    <row r="20" spans="1:9" ht="112.5" x14ac:dyDescent="0.25">
      <c r="A20" s="6" t="s">
        <v>33</v>
      </c>
      <c r="B20" s="9" t="s">
        <v>41</v>
      </c>
      <c r="C20" s="12" t="s">
        <v>50</v>
      </c>
      <c r="D20" s="7" t="s">
        <v>68</v>
      </c>
      <c r="E20" s="9"/>
      <c r="G20" s="9"/>
      <c r="H20" s="9"/>
    </row>
    <row r="21" spans="1:9" ht="168.75" x14ac:dyDescent="0.25">
      <c r="A21" s="6" t="s">
        <v>34</v>
      </c>
      <c r="B21" s="9" t="s">
        <v>194</v>
      </c>
      <c r="C21" s="12" t="s">
        <v>199</v>
      </c>
      <c r="D21" s="7" t="s">
        <v>200</v>
      </c>
      <c r="G21" s="9"/>
      <c r="H21" s="9"/>
    </row>
    <row r="22" spans="1:9" ht="206.25" x14ac:dyDescent="0.25">
      <c r="A22" s="6" t="s">
        <v>35</v>
      </c>
      <c r="B22" s="9" t="s">
        <v>195</v>
      </c>
      <c r="C22" s="12" t="s">
        <v>199</v>
      </c>
      <c r="D22" s="7" t="s">
        <v>201</v>
      </c>
      <c r="E22" s="9" t="s">
        <v>463</v>
      </c>
      <c r="F22" s="2" t="s">
        <v>311</v>
      </c>
      <c r="G22" s="9" t="s">
        <v>464</v>
      </c>
      <c r="H22" s="9" t="s">
        <v>465</v>
      </c>
      <c r="I22" s="6" t="s">
        <v>221</v>
      </c>
    </row>
    <row r="23" spans="1:9" ht="150" x14ac:dyDescent="0.25">
      <c r="A23" s="6" t="s">
        <v>36</v>
      </c>
      <c r="B23" s="9" t="s">
        <v>196</v>
      </c>
      <c r="C23" s="12" t="s">
        <v>199</v>
      </c>
      <c r="D23" s="7" t="s">
        <v>202</v>
      </c>
      <c r="E23" s="2" t="s">
        <v>313</v>
      </c>
      <c r="F23" s="2" t="s">
        <v>311</v>
      </c>
      <c r="G23" s="9" t="s">
        <v>314</v>
      </c>
      <c r="H23" s="9" t="s">
        <v>315</v>
      </c>
      <c r="I23" s="6" t="s">
        <v>221</v>
      </c>
    </row>
    <row r="24" spans="1:9" ht="187.5" x14ac:dyDescent="0.25">
      <c r="A24" s="6" t="s">
        <v>37</v>
      </c>
      <c r="B24" s="9" t="s">
        <v>197</v>
      </c>
      <c r="C24" s="12" t="s">
        <v>199</v>
      </c>
      <c r="D24" s="7" t="s">
        <v>203</v>
      </c>
      <c r="E24" s="9" t="s">
        <v>358</v>
      </c>
      <c r="F24" s="2" t="s">
        <v>311</v>
      </c>
      <c r="G24" s="9" t="s">
        <v>359</v>
      </c>
      <c r="H24" s="9" t="s">
        <v>360</v>
      </c>
      <c r="I24" s="6" t="s">
        <v>221</v>
      </c>
    </row>
    <row r="25" spans="1:9" ht="262.5" x14ac:dyDescent="0.25">
      <c r="A25" s="6" t="s">
        <v>39</v>
      </c>
      <c r="B25" s="9" t="s">
        <v>198</v>
      </c>
      <c r="C25" s="12" t="s">
        <v>199</v>
      </c>
      <c r="D25" s="7" t="s">
        <v>204</v>
      </c>
      <c r="E25" s="9" t="s">
        <v>477</v>
      </c>
      <c r="F25" s="9" t="s">
        <v>321</v>
      </c>
      <c r="G25" s="9" t="s">
        <v>322</v>
      </c>
      <c r="H25" s="9" t="s">
        <v>478</v>
      </c>
      <c r="I25" s="6" t="s">
        <v>222</v>
      </c>
    </row>
    <row r="26" spans="1:9" ht="93.75" x14ac:dyDescent="0.25">
      <c r="A26" s="6" t="s">
        <v>45</v>
      </c>
      <c r="B26" s="7" t="s">
        <v>69</v>
      </c>
      <c r="C26" s="12" t="s">
        <v>51</v>
      </c>
      <c r="D26" s="7" t="s">
        <v>59</v>
      </c>
      <c r="E26" s="2" t="s">
        <v>356</v>
      </c>
      <c r="F26" s="2" t="s">
        <v>311</v>
      </c>
      <c r="G26" s="9" t="s">
        <v>357</v>
      </c>
      <c r="H26" s="9" t="s">
        <v>312</v>
      </c>
      <c r="I26" s="6" t="s">
        <v>222</v>
      </c>
    </row>
    <row r="27" spans="1:9" ht="131.25" x14ac:dyDescent="0.25">
      <c r="A27" s="6" t="s">
        <v>46</v>
      </c>
      <c r="B27" s="9" t="s">
        <v>273</v>
      </c>
      <c r="C27" s="12" t="s">
        <v>51</v>
      </c>
      <c r="D27" s="7" t="s">
        <v>60</v>
      </c>
      <c r="E27" s="9" t="s">
        <v>461</v>
      </c>
      <c r="F27" s="2" t="s">
        <v>311</v>
      </c>
      <c r="G27" s="9" t="s">
        <v>462</v>
      </c>
      <c r="H27" s="9" t="s">
        <v>312</v>
      </c>
      <c r="I27" s="6" t="s">
        <v>222</v>
      </c>
    </row>
    <row r="28" spans="1:9" ht="93.75" x14ac:dyDescent="0.25">
      <c r="A28" s="6" t="s">
        <v>47</v>
      </c>
      <c r="B28" s="7" t="s">
        <v>70</v>
      </c>
      <c r="C28" s="12" t="s">
        <v>52</v>
      </c>
      <c r="D28" s="7" t="s">
        <v>62</v>
      </c>
      <c r="E28" s="2" t="s">
        <v>473</v>
      </c>
      <c r="F28" s="2" t="s">
        <v>311</v>
      </c>
      <c r="G28" s="9" t="s">
        <v>474</v>
      </c>
      <c r="H28" s="9" t="s">
        <v>312</v>
      </c>
      <c r="I28" s="6" t="s">
        <v>222</v>
      </c>
    </row>
    <row r="29" spans="1:9" ht="131.25" x14ac:dyDescent="0.25">
      <c r="A29" s="6" t="s">
        <v>178</v>
      </c>
      <c r="B29" s="9" t="s">
        <v>42</v>
      </c>
      <c r="C29" s="12" t="s">
        <v>52</v>
      </c>
      <c r="D29" s="7" t="s">
        <v>63</v>
      </c>
      <c r="E29" s="9" t="s">
        <v>475</v>
      </c>
      <c r="F29" s="2" t="s">
        <v>311</v>
      </c>
      <c r="G29" s="9" t="s">
        <v>476</v>
      </c>
      <c r="H29" s="9" t="s">
        <v>312</v>
      </c>
      <c r="I29" s="6" t="s">
        <v>222</v>
      </c>
    </row>
    <row r="30" spans="1:9" ht="75" x14ac:dyDescent="0.25">
      <c r="A30" s="6" t="s">
        <v>180</v>
      </c>
      <c r="B30" s="7" t="s">
        <v>71</v>
      </c>
      <c r="C30" s="12" t="s">
        <v>52</v>
      </c>
      <c r="D30" s="7" t="s">
        <v>65</v>
      </c>
      <c r="E30" s="2" t="s">
        <v>316</v>
      </c>
      <c r="F30" s="2" t="s">
        <v>311</v>
      </c>
      <c r="G30" s="9" t="s">
        <v>317</v>
      </c>
      <c r="H30" s="9" t="s">
        <v>312</v>
      </c>
      <c r="I30" s="6" t="s">
        <v>222</v>
      </c>
    </row>
    <row r="31" spans="1:9" ht="112.5" x14ac:dyDescent="0.25">
      <c r="A31" s="6" t="s">
        <v>205</v>
      </c>
      <c r="B31" s="9" t="s">
        <v>43</v>
      </c>
      <c r="C31" s="12" t="s">
        <v>52</v>
      </c>
      <c r="D31" s="7" t="s">
        <v>66</v>
      </c>
      <c r="E31" s="2" t="s">
        <v>363</v>
      </c>
      <c r="F31" s="2" t="s">
        <v>311</v>
      </c>
      <c r="G31" s="9" t="s">
        <v>364</v>
      </c>
      <c r="H31" s="9" t="s">
        <v>312</v>
      </c>
      <c r="I31" s="6" t="s">
        <v>222</v>
      </c>
    </row>
    <row r="32" spans="1:9" ht="75" x14ac:dyDescent="0.25">
      <c r="A32" s="6" t="s">
        <v>206</v>
      </c>
      <c r="B32" s="7" t="s">
        <v>25</v>
      </c>
      <c r="C32" s="12" t="s">
        <v>53</v>
      </c>
      <c r="D32" s="7" t="s">
        <v>67</v>
      </c>
      <c r="E32" s="2" t="s">
        <v>365</v>
      </c>
      <c r="F32" s="2" t="s">
        <v>311</v>
      </c>
      <c r="G32" s="9" t="s">
        <v>366</v>
      </c>
      <c r="H32" s="2" t="s">
        <v>320</v>
      </c>
      <c r="I32" s="6" t="s">
        <v>222</v>
      </c>
    </row>
    <row r="33" spans="1:9" ht="112.5" x14ac:dyDescent="0.25">
      <c r="A33" s="6" t="s">
        <v>207</v>
      </c>
      <c r="B33" s="9" t="s">
        <v>44</v>
      </c>
      <c r="C33" s="12" t="s">
        <v>53</v>
      </c>
      <c r="D33" s="7" t="s">
        <v>68</v>
      </c>
      <c r="E33" s="9" t="s">
        <v>367</v>
      </c>
      <c r="F33" s="2" t="s">
        <v>311</v>
      </c>
      <c r="G33" s="9" t="s">
        <v>368</v>
      </c>
      <c r="H33" s="2" t="s">
        <v>320</v>
      </c>
      <c r="I33" s="6" t="s">
        <v>222</v>
      </c>
    </row>
    <row r="34" spans="1:9" ht="168.75" x14ac:dyDescent="0.25">
      <c r="A34" s="6" t="s">
        <v>208</v>
      </c>
      <c r="B34" s="9" t="s">
        <v>220</v>
      </c>
      <c r="C34" s="12" t="s">
        <v>199</v>
      </c>
      <c r="D34" s="7" t="s">
        <v>200</v>
      </c>
      <c r="E34" s="2" t="s">
        <v>361</v>
      </c>
      <c r="F34" s="2" t="s">
        <v>311</v>
      </c>
      <c r="G34" s="9" t="s">
        <v>362</v>
      </c>
      <c r="H34" s="9" t="s">
        <v>312</v>
      </c>
      <c r="I34" s="6" t="s">
        <v>222</v>
      </c>
    </row>
    <row r="35" spans="1:9" ht="206.25" x14ac:dyDescent="0.25">
      <c r="A35" s="6" t="s">
        <v>209</v>
      </c>
      <c r="B35" s="9" t="s">
        <v>216</v>
      </c>
      <c r="C35" s="12" t="s">
        <v>199</v>
      </c>
      <c r="D35" s="7" t="s">
        <v>201</v>
      </c>
      <c r="E35" s="9" t="s">
        <v>466</v>
      </c>
      <c r="F35" s="2" t="s">
        <v>311</v>
      </c>
      <c r="G35" s="9" t="s">
        <v>467</v>
      </c>
      <c r="H35" s="9" t="s">
        <v>312</v>
      </c>
      <c r="I35" s="6" t="s">
        <v>222</v>
      </c>
    </row>
    <row r="36" spans="1:9" ht="150" x14ac:dyDescent="0.25">
      <c r="A36" s="6" t="s">
        <v>210</v>
      </c>
      <c r="B36" s="9" t="s">
        <v>217</v>
      </c>
      <c r="C36" s="12" t="s">
        <v>199</v>
      </c>
      <c r="D36" s="7" t="s">
        <v>202</v>
      </c>
      <c r="E36" s="2" t="s">
        <v>318</v>
      </c>
      <c r="F36" s="2" t="s">
        <v>311</v>
      </c>
      <c r="G36" s="9" t="s">
        <v>319</v>
      </c>
      <c r="H36" s="9" t="s">
        <v>312</v>
      </c>
      <c r="I36" s="6" t="s">
        <v>222</v>
      </c>
    </row>
    <row r="37" spans="1:9" ht="187.5" x14ac:dyDescent="0.25">
      <c r="A37" s="6" t="s">
        <v>211</v>
      </c>
      <c r="B37" s="9" t="s">
        <v>218</v>
      </c>
      <c r="C37" s="12" t="s">
        <v>199</v>
      </c>
      <c r="D37" s="7" t="s">
        <v>203</v>
      </c>
      <c r="E37" s="9" t="s">
        <v>468</v>
      </c>
      <c r="F37" s="2" t="s">
        <v>311</v>
      </c>
      <c r="G37" s="9" t="s">
        <v>469</v>
      </c>
      <c r="H37" s="9" t="s">
        <v>312</v>
      </c>
      <c r="I37" s="6" t="s">
        <v>222</v>
      </c>
    </row>
    <row r="38" spans="1:9" ht="262.5" x14ac:dyDescent="0.25">
      <c r="A38" s="6" t="s">
        <v>212</v>
      </c>
      <c r="B38" s="9" t="s">
        <v>219</v>
      </c>
      <c r="C38" s="12" t="s">
        <v>199</v>
      </c>
      <c r="D38" s="7" t="s">
        <v>204</v>
      </c>
      <c r="E38" s="9" t="s">
        <v>479</v>
      </c>
      <c r="F38" s="9" t="s">
        <v>321</v>
      </c>
      <c r="G38" s="9" t="s">
        <v>322</v>
      </c>
      <c r="H38" s="9" t="s">
        <v>312</v>
      </c>
      <c r="I38" s="6" t="s">
        <v>222</v>
      </c>
    </row>
    <row r="39" spans="1:9" ht="75" x14ac:dyDescent="0.25">
      <c r="A39" s="6" t="s">
        <v>213</v>
      </c>
      <c r="B39" s="9" t="s">
        <v>183</v>
      </c>
      <c r="C39" s="12" t="s">
        <v>182</v>
      </c>
      <c r="D39" s="7" t="s">
        <v>179</v>
      </c>
      <c r="E39" s="9" t="s">
        <v>480</v>
      </c>
      <c r="F39" s="2" t="s">
        <v>323</v>
      </c>
      <c r="G39" s="9" t="s">
        <v>481</v>
      </c>
      <c r="H39" s="2" t="s">
        <v>324</v>
      </c>
      <c r="I39" s="6" t="s">
        <v>222</v>
      </c>
    </row>
    <row r="40" spans="1:9" ht="75" x14ac:dyDescent="0.25">
      <c r="A40" s="6" t="s">
        <v>214</v>
      </c>
      <c r="B40" s="9" t="s">
        <v>184</v>
      </c>
      <c r="C40" s="12" t="s">
        <v>181</v>
      </c>
      <c r="D40" s="7" t="s">
        <v>179</v>
      </c>
      <c r="E40" s="9" t="s">
        <v>369</v>
      </c>
      <c r="F40" s="2" t="s">
        <v>323</v>
      </c>
      <c r="G40" s="9" t="s">
        <v>370</v>
      </c>
      <c r="H40" s="9" t="s">
        <v>370</v>
      </c>
      <c r="I40" s="6" t="s">
        <v>221</v>
      </c>
    </row>
    <row r="41" spans="1:9" x14ac:dyDescent="0.25">
      <c r="B41" s="7"/>
      <c r="C41" s="7"/>
      <c r="D41" s="7"/>
    </row>
    <row r="42" spans="1:9" ht="26.25" x14ac:dyDescent="0.25">
      <c r="A42" s="24" t="s">
        <v>54</v>
      </c>
      <c r="B42" s="25"/>
      <c r="C42" s="25"/>
      <c r="D42" s="25"/>
      <c r="E42" s="25"/>
      <c r="F42" s="25"/>
      <c r="G42" s="25"/>
      <c r="H42" s="25"/>
      <c r="I42" s="26"/>
    </row>
    <row r="43" spans="1:9" ht="56.25" x14ac:dyDescent="0.25">
      <c r="A43" s="6" t="s">
        <v>77</v>
      </c>
      <c r="B43" s="7" t="s">
        <v>56</v>
      </c>
      <c r="C43" s="12" t="s">
        <v>57</v>
      </c>
      <c r="D43" s="7" t="s">
        <v>72</v>
      </c>
      <c r="E43" s="2" t="s">
        <v>380</v>
      </c>
      <c r="G43" s="9" t="s">
        <v>381</v>
      </c>
      <c r="H43" s="9" t="s">
        <v>381</v>
      </c>
      <c r="I43" s="6" t="s">
        <v>221</v>
      </c>
    </row>
    <row r="44" spans="1:9" ht="75" x14ac:dyDescent="0.25">
      <c r="A44" s="6" t="s">
        <v>78</v>
      </c>
      <c r="B44" s="7" t="s">
        <v>73</v>
      </c>
      <c r="C44" s="12" t="s">
        <v>57</v>
      </c>
      <c r="D44" s="7" t="s">
        <v>74</v>
      </c>
      <c r="E44" s="9" t="s">
        <v>382</v>
      </c>
      <c r="G44" s="9" t="s">
        <v>383</v>
      </c>
      <c r="H44" s="9" t="s">
        <v>383</v>
      </c>
      <c r="I44" s="6" t="s">
        <v>221</v>
      </c>
    </row>
    <row r="45" spans="1:9" ht="56.25" x14ac:dyDescent="0.25">
      <c r="A45" s="6" t="s">
        <v>79</v>
      </c>
      <c r="B45" s="7" t="s">
        <v>75</v>
      </c>
      <c r="C45" s="12" t="s">
        <v>76</v>
      </c>
      <c r="D45" s="7" t="s">
        <v>72</v>
      </c>
      <c r="E45" s="2" t="s">
        <v>482</v>
      </c>
      <c r="G45" s="9" t="s">
        <v>483</v>
      </c>
      <c r="H45" s="9" t="s">
        <v>312</v>
      </c>
      <c r="I45" s="6" t="s">
        <v>222</v>
      </c>
    </row>
    <row r="46" spans="1:9" ht="75" x14ac:dyDescent="0.25">
      <c r="A46" s="6" t="s">
        <v>80</v>
      </c>
      <c r="B46" s="7" t="s">
        <v>108</v>
      </c>
      <c r="C46" s="12" t="s">
        <v>76</v>
      </c>
      <c r="D46" s="7" t="s">
        <v>74</v>
      </c>
      <c r="E46" s="9" t="s">
        <v>484</v>
      </c>
      <c r="G46" s="9" t="s">
        <v>485</v>
      </c>
      <c r="H46" s="9" t="s">
        <v>312</v>
      </c>
      <c r="I46" s="6" t="s">
        <v>222</v>
      </c>
    </row>
    <row r="47" spans="1:9" x14ac:dyDescent="0.25">
      <c r="B47" s="7"/>
      <c r="C47" s="7"/>
      <c r="D47" s="7"/>
    </row>
    <row r="48" spans="1:9" ht="26.25" x14ac:dyDescent="0.25">
      <c r="A48" s="24" t="s">
        <v>83</v>
      </c>
      <c r="B48" s="25"/>
      <c r="C48" s="25"/>
      <c r="D48" s="25"/>
      <c r="E48" s="25"/>
      <c r="F48" s="25"/>
      <c r="G48" s="25"/>
      <c r="H48" s="25"/>
      <c r="I48" s="26"/>
    </row>
    <row r="49" spans="1:9" ht="75" x14ac:dyDescent="0.25">
      <c r="A49" s="6" t="s">
        <v>82</v>
      </c>
      <c r="B49" s="15" t="s">
        <v>110</v>
      </c>
      <c r="C49" s="12" t="s">
        <v>88</v>
      </c>
      <c r="D49" s="7" t="s">
        <v>109</v>
      </c>
      <c r="E49" s="9" t="s">
        <v>352</v>
      </c>
      <c r="F49" s="9"/>
      <c r="G49" s="9" t="s">
        <v>308</v>
      </c>
      <c r="H49" s="9" t="s">
        <v>308</v>
      </c>
      <c r="I49" s="6" t="s">
        <v>221</v>
      </c>
    </row>
    <row r="50" spans="1:9" ht="75" x14ac:dyDescent="0.25">
      <c r="A50" s="6" t="s">
        <v>84</v>
      </c>
      <c r="B50" s="15" t="s">
        <v>111</v>
      </c>
      <c r="C50" s="12" t="s">
        <v>88</v>
      </c>
      <c r="D50" s="7" t="s">
        <v>109</v>
      </c>
      <c r="E50" s="9" t="s">
        <v>457</v>
      </c>
      <c r="F50" s="9"/>
      <c r="G50" s="9" t="s">
        <v>309</v>
      </c>
      <c r="H50" s="9" t="s">
        <v>310</v>
      </c>
      <c r="I50" s="6" t="s">
        <v>222</v>
      </c>
    </row>
    <row r="51" spans="1:9" ht="150" x14ac:dyDescent="0.25">
      <c r="A51" s="6" t="s">
        <v>85</v>
      </c>
      <c r="B51" s="16" t="s">
        <v>107</v>
      </c>
      <c r="C51" s="12" t="s">
        <v>88</v>
      </c>
      <c r="D51" s="9" t="s">
        <v>89</v>
      </c>
      <c r="E51" s="9" t="s">
        <v>349</v>
      </c>
      <c r="G51" s="9" t="s">
        <v>300</v>
      </c>
      <c r="H51" s="9" t="s">
        <v>301</v>
      </c>
      <c r="I51" s="6" t="s">
        <v>221</v>
      </c>
    </row>
    <row r="52" spans="1:9" ht="112.5" x14ac:dyDescent="0.25">
      <c r="A52" s="6" t="s">
        <v>86</v>
      </c>
      <c r="B52" s="16" t="s">
        <v>106</v>
      </c>
      <c r="C52" s="12" t="s">
        <v>88</v>
      </c>
      <c r="D52" s="9" t="s">
        <v>90</v>
      </c>
      <c r="E52" s="9" t="s">
        <v>452</v>
      </c>
      <c r="F52" s="9"/>
      <c r="G52" s="22" t="s">
        <v>302</v>
      </c>
      <c r="H52" s="9" t="s">
        <v>302</v>
      </c>
      <c r="I52" s="6" t="s">
        <v>221</v>
      </c>
    </row>
    <row r="53" spans="1:9" ht="112.5" x14ac:dyDescent="0.25">
      <c r="A53" s="6" t="s">
        <v>87</v>
      </c>
      <c r="B53" s="16" t="s">
        <v>105</v>
      </c>
      <c r="C53" s="12" t="s">
        <v>88</v>
      </c>
      <c r="D53" s="9" t="s">
        <v>91</v>
      </c>
      <c r="E53" s="9" t="s">
        <v>453</v>
      </c>
      <c r="F53" s="9"/>
      <c r="G53" s="22" t="s">
        <v>350</v>
      </c>
      <c r="H53" s="9" t="s">
        <v>350</v>
      </c>
      <c r="I53" s="6" t="s">
        <v>221</v>
      </c>
    </row>
    <row r="54" spans="1:9" ht="112.5" x14ac:dyDescent="0.25">
      <c r="A54" s="6" t="s">
        <v>99</v>
      </c>
      <c r="B54" s="16" t="s">
        <v>104</v>
      </c>
      <c r="C54" s="12" t="s">
        <v>88</v>
      </c>
      <c r="D54" s="9" t="s">
        <v>91</v>
      </c>
      <c r="E54" s="9" t="s">
        <v>351</v>
      </c>
      <c r="F54" s="9"/>
      <c r="G54" s="22" t="s">
        <v>303</v>
      </c>
      <c r="H54" s="9" t="s">
        <v>304</v>
      </c>
      <c r="I54" s="6" t="s">
        <v>221</v>
      </c>
    </row>
    <row r="55" spans="1:9" ht="131.25" x14ac:dyDescent="0.25">
      <c r="A55" s="6" t="s">
        <v>98</v>
      </c>
      <c r="B55" s="15" t="s">
        <v>146</v>
      </c>
      <c r="C55" s="12" t="s">
        <v>112</v>
      </c>
      <c r="D55" s="7" t="s">
        <v>103</v>
      </c>
      <c r="E55" s="9" t="s">
        <v>456</v>
      </c>
      <c r="F55" s="9"/>
      <c r="G55" s="9" t="s">
        <v>306</v>
      </c>
      <c r="H55" s="9" t="s">
        <v>307</v>
      </c>
      <c r="I55" s="6" t="s">
        <v>222</v>
      </c>
    </row>
    <row r="56" spans="1:9" ht="93.75" x14ac:dyDescent="0.25">
      <c r="A56" s="6" t="s">
        <v>97</v>
      </c>
      <c r="B56" s="16" t="s">
        <v>144</v>
      </c>
      <c r="C56" s="12" t="s">
        <v>113</v>
      </c>
      <c r="D56" s="9" t="s">
        <v>114</v>
      </c>
      <c r="E56" s="9" t="s">
        <v>348</v>
      </c>
      <c r="G56" s="9" t="s">
        <v>299</v>
      </c>
      <c r="H56" s="2" t="s">
        <v>299</v>
      </c>
      <c r="I56" s="6" t="s">
        <v>221</v>
      </c>
    </row>
    <row r="57" spans="1:9" ht="93.75" x14ac:dyDescent="0.25">
      <c r="A57" s="6" t="s">
        <v>96</v>
      </c>
      <c r="B57" s="15" t="s">
        <v>145</v>
      </c>
      <c r="C57" s="12" t="s">
        <v>113</v>
      </c>
      <c r="D57" s="7" t="s">
        <v>103</v>
      </c>
      <c r="E57" s="9" t="s">
        <v>454</v>
      </c>
      <c r="G57" s="9" t="s">
        <v>305</v>
      </c>
      <c r="H57" s="9" t="s">
        <v>455</v>
      </c>
      <c r="I57" s="6" t="s">
        <v>222</v>
      </c>
    </row>
    <row r="58" spans="1:9" ht="75" x14ac:dyDescent="0.25">
      <c r="A58" s="6" t="s">
        <v>95</v>
      </c>
      <c r="B58" s="20" t="s">
        <v>223</v>
      </c>
      <c r="C58" s="12" t="s">
        <v>229</v>
      </c>
      <c r="D58" s="7" t="s">
        <v>230</v>
      </c>
      <c r="E58" s="9" t="s">
        <v>423</v>
      </c>
      <c r="G58" s="9" t="s">
        <v>424</v>
      </c>
      <c r="H58" s="9" t="s">
        <v>425</v>
      </c>
      <c r="I58" s="6" t="s">
        <v>222</v>
      </c>
    </row>
    <row r="59" spans="1:9" ht="75" x14ac:dyDescent="0.25">
      <c r="A59" s="6" t="s">
        <v>94</v>
      </c>
      <c r="B59" s="20" t="s">
        <v>225</v>
      </c>
      <c r="C59" s="12" t="s">
        <v>229</v>
      </c>
      <c r="D59" s="7" t="s">
        <v>231</v>
      </c>
      <c r="E59" s="9" t="s">
        <v>341</v>
      </c>
      <c r="G59" s="9" t="s">
        <v>342</v>
      </c>
      <c r="H59" s="9" t="s">
        <v>342</v>
      </c>
      <c r="I59" s="6" t="s">
        <v>221</v>
      </c>
    </row>
    <row r="60" spans="1:9" ht="75" x14ac:dyDescent="0.25">
      <c r="A60" s="6" t="s">
        <v>93</v>
      </c>
      <c r="B60" s="20" t="s">
        <v>224</v>
      </c>
      <c r="C60" s="12" t="s">
        <v>232</v>
      </c>
      <c r="D60" s="7" t="s">
        <v>231</v>
      </c>
      <c r="E60" s="9" t="s">
        <v>339</v>
      </c>
      <c r="F60" s="2" t="s">
        <v>293</v>
      </c>
      <c r="G60" s="9" t="s">
        <v>340</v>
      </c>
      <c r="H60" s="9" t="s">
        <v>340</v>
      </c>
      <c r="I60" s="6" t="s">
        <v>221</v>
      </c>
    </row>
    <row r="61" spans="1:9" ht="93.75" x14ac:dyDescent="0.25">
      <c r="A61" s="6" t="s">
        <v>92</v>
      </c>
      <c r="B61" s="20" t="s">
        <v>236</v>
      </c>
      <c r="C61" s="12" t="s">
        <v>229</v>
      </c>
      <c r="D61" s="7" t="s">
        <v>239</v>
      </c>
      <c r="E61" s="9" t="s">
        <v>294</v>
      </c>
      <c r="G61" s="9" t="s">
        <v>426</v>
      </c>
      <c r="H61" s="9" t="s">
        <v>427</v>
      </c>
      <c r="I61" s="6" t="s">
        <v>222</v>
      </c>
    </row>
    <row r="62" spans="1:9" ht="93.75" x14ac:dyDescent="0.25">
      <c r="A62" s="6" t="s">
        <v>100</v>
      </c>
      <c r="B62" s="20" t="s">
        <v>237</v>
      </c>
      <c r="C62" s="12" t="s">
        <v>229</v>
      </c>
      <c r="D62" s="7" t="s">
        <v>240</v>
      </c>
      <c r="E62" s="9" t="s">
        <v>294</v>
      </c>
      <c r="G62" s="9" t="s">
        <v>428</v>
      </c>
      <c r="H62" s="9" t="s">
        <v>429</v>
      </c>
      <c r="I62" s="6" t="s">
        <v>222</v>
      </c>
    </row>
    <row r="63" spans="1:9" ht="93.75" x14ac:dyDescent="0.25">
      <c r="A63" s="6" t="s">
        <v>101</v>
      </c>
      <c r="B63" s="20" t="s">
        <v>238</v>
      </c>
      <c r="C63" s="12" t="s">
        <v>229</v>
      </c>
      <c r="D63" s="7" t="s">
        <v>241</v>
      </c>
      <c r="E63" s="9" t="s">
        <v>294</v>
      </c>
      <c r="G63" s="9" t="s">
        <v>430</v>
      </c>
      <c r="H63" s="9" t="s">
        <v>431</v>
      </c>
      <c r="I63" s="6" t="s">
        <v>222</v>
      </c>
    </row>
    <row r="64" spans="1:9" ht="112.5" x14ac:dyDescent="0.25">
      <c r="A64" s="6" t="s">
        <v>102</v>
      </c>
      <c r="B64" s="14" t="s">
        <v>143</v>
      </c>
      <c r="C64" s="12" t="s">
        <v>243</v>
      </c>
      <c r="D64" s="7" t="s">
        <v>116</v>
      </c>
      <c r="E64" s="9" t="s">
        <v>432</v>
      </c>
      <c r="G64" s="9" t="s">
        <v>433</v>
      </c>
      <c r="H64" s="9" t="s">
        <v>434</v>
      </c>
      <c r="I64" s="6" t="s">
        <v>222</v>
      </c>
    </row>
    <row r="65" spans="1:9" ht="112.5" x14ac:dyDescent="0.25">
      <c r="A65" s="6" t="s">
        <v>120</v>
      </c>
      <c r="B65" s="14" t="s">
        <v>142</v>
      </c>
      <c r="C65" s="12" t="s">
        <v>243</v>
      </c>
      <c r="D65" s="7" t="s">
        <v>117</v>
      </c>
      <c r="E65" s="9" t="s">
        <v>435</v>
      </c>
      <c r="F65" s="2" t="s">
        <v>295</v>
      </c>
      <c r="G65" s="9" t="s">
        <v>436</v>
      </c>
      <c r="H65" s="9" t="s">
        <v>437</v>
      </c>
      <c r="I65" s="6" t="s">
        <v>222</v>
      </c>
    </row>
    <row r="66" spans="1:9" ht="112.5" x14ac:dyDescent="0.25">
      <c r="A66" s="6" t="s">
        <v>121</v>
      </c>
      <c r="B66" s="14" t="s">
        <v>141</v>
      </c>
      <c r="C66" s="12" t="s">
        <v>243</v>
      </c>
      <c r="D66" s="7" t="s">
        <v>118</v>
      </c>
      <c r="E66" s="9" t="s">
        <v>343</v>
      </c>
      <c r="F66" s="9" t="s">
        <v>296</v>
      </c>
      <c r="G66" s="9" t="s">
        <v>344</v>
      </c>
      <c r="H66" s="9" t="s">
        <v>345</v>
      </c>
      <c r="I66" s="6" t="s">
        <v>222</v>
      </c>
    </row>
    <row r="67" spans="1:9" ht="112.5" x14ac:dyDescent="0.25">
      <c r="A67" s="6" t="s">
        <v>125</v>
      </c>
      <c r="B67" s="14" t="s">
        <v>242</v>
      </c>
      <c r="C67" s="12" t="s">
        <v>243</v>
      </c>
      <c r="D67" s="7" t="s">
        <v>244</v>
      </c>
      <c r="E67" s="9" t="s">
        <v>438</v>
      </c>
      <c r="F67" s="2" t="s">
        <v>297</v>
      </c>
      <c r="G67" s="9" t="s">
        <v>439</v>
      </c>
      <c r="H67" s="9" t="s">
        <v>440</v>
      </c>
      <c r="I67" s="6" t="s">
        <v>222</v>
      </c>
    </row>
    <row r="68" spans="1:9" ht="93.75" x14ac:dyDescent="0.25">
      <c r="A68" s="6" t="s">
        <v>126</v>
      </c>
      <c r="B68" s="14" t="s">
        <v>140</v>
      </c>
      <c r="C68" s="12" t="s">
        <v>274</v>
      </c>
      <c r="D68" s="7" t="s">
        <v>119</v>
      </c>
      <c r="E68" s="9" t="s">
        <v>346</v>
      </c>
      <c r="G68" s="9" t="s">
        <v>347</v>
      </c>
      <c r="H68" s="9" t="s">
        <v>347</v>
      </c>
      <c r="I68" s="6" t="s">
        <v>221</v>
      </c>
    </row>
    <row r="69" spans="1:9" ht="112.5" x14ac:dyDescent="0.25">
      <c r="A69" s="6" t="s">
        <v>127</v>
      </c>
      <c r="B69" s="17" t="s">
        <v>139</v>
      </c>
      <c r="C69" s="12" t="s">
        <v>243</v>
      </c>
      <c r="D69" s="7" t="s">
        <v>122</v>
      </c>
      <c r="E69" s="9" t="s">
        <v>441</v>
      </c>
      <c r="G69" s="9" t="s">
        <v>442</v>
      </c>
      <c r="H69" s="9" t="s">
        <v>298</v>
      </c>
      <c r="I69" s="6" t="s">
        <v>222</v>
      </c>
    </row>
    <row r="70" spans="1:9" ht="131.25" x14ac:dyDescent="0.25">
      <c r="A70" s="6" t="s">
        <v>147</v>
      </c>
      <c r="B70" s="17" t="s">
        <v>138</v>
      </c>
      <c r="C70" s="12" t="s">
        <v>243</v>
      </c>
      <c r="D70" s="7" t="s">
        <v>123</v>
      </c>
      <c r="E70" s="9" t="s">
        <v>443</v>
      </c>
      <c r="F70" s="2" t="s">
        <v>295</v>
      </c>
      <c r="G70" s="9" t="s">
        <v>444</v>
      </c>
      <c r="H70" s="9" t="s">
        <v>445</v>
      </c>
      <c r="I70" s="6" t="s">
        <v>222</v>
      </c>
    </row>
    <row r="71" spans="1:9" ht="112.5" x14ac:dyDescent="0.25">
      <c r="A71" s="6" t="s">
        <v>148</v>
      </c>
      <c r="B71" s="17" t="s">
        <v>137</v>
      </c>
      <c r="C71" s="12" t="s">
        <v>243</v>
      </c>
      <c r="D71" s="7" t="s">
        <v>124</v>
      </c>
      <c r="E71" s="9" t="s">
        <v>446</v>
      </c>
      <c r="F71" s="9" t="s">
        <v>296</v>
      </c>
      <c r="G71" s="9" t="s">
        <v>447</v>
      </c>
      <c r="H71" s="9" t="s">
        <v>448</v>
      </c>
      <c r="I71" s="6" t="s">
        <v>222</v>
      </c>
    </row>
    <row r="72" spans="1:9" ht="131.25" x14ac:dyDescent="0.25">
      <c r="A72" s="6" t="s">
        <v>149</v>
      </c>
      <c r="B72" s="17" t="s">
        <v>245</v>
      </c>
      <c r="C72" s="12" t="s">
        <v>243</v>
      </c>
      <c r="D72" s="7" t="s">
        <v>246</v>
      </c>
      <c r="E72" s="9" t="s">
        <v>449</v>
      </c>
      <c r="F72" s="2" t="s">
        <v>297</v>
      </c>
      <c r="G72" s="9" t="s">
        <v>450</v>
      </c>
      <c r="H72" s="9" t="s">
        <v>451</v>
      </c>
      <c r="I72" s="6" t="s">
        <v>222</v>
      </c>
    </row>
    <row r="73" spans="1:9" ht="311.45" customHeight="1" x14ac:dyDescent="0.25">
      <c r="A73" s="6" t="s">
        <v>150</v>
      </c>
      <c r="B73" s="18" t="s">
        <v>136</v>
      </c>
      <c r="C73" s="12" t="s">
        <v>115</v>
      </c>
      <c r="D73" s="7" t="s">
        <v>81</v>
      </c>
      <c r="E73" s="9" t="s">
        <v>385</v>
      </c>
      <c r="F73" s="9"/>
      <c r="G73" s="9" t="s">
        <v>386</v>
      </c>
      <c r="H73" s="9" t="s">
        <v>279</v>
      </c>
      <c r="I73" s="6" t="s">
        <v>222</v>
      </c>
    </row>
    <row r="74" spans="1:9" ht="281.25" x14ac:dyDescent="0.25">
      <c r="A74" s="6" t="s">
        <v>169</v>
      </c>
      <c r="B74" s="18" t="s">
        <v>135</v>
      </c>
      <c r="C74" s="12" t="s">
        <v>263</v>
      </c>
      <c r="D74" s="7" t="s">
        <v>81</v>
      </c>
      <c r="E74" s="9" t="s">
        <v>328</v>
      </c>
      <c r="F74" s="9"/>
      <c r="G74" s="9" t="s">
        <v>329</v>
      </c>
      <c r="H74" s="9" t="s">
        <v>279</v>
      </c>
      <c r="I74" s="6" t="s">
        <v>222</v>
      </c>
    </row>
    <row r="75" spans="1:9" ht="281.25" x14ac:dyDescent="0.25">
      <c r="A75" s="6" t="s">
        <v>170</v>
      </c>
      <c r="B75" s="18" t="s">
        <v>134</v>
      </c>
      <c r="C75" s="12" t="s">
        <v>264</v>
      </c>
      <c r="D75" s="7" t="s">
        <v>81</v>
      </c>
      <c r="E75" s="9" t="s">
        <v>387</v>
      </c>
      <c r="F75" s="9"/>
      <c r="G75" s="9" t="s">
        <v>388</v>
      </c>
      <c r="H75" s="9" t="s">
        <v>279</v>
      </c>
      <c r="I75" s="6" t="s">
        <v>222</v>
      </c>
    </row>
    <row r="76" spans="1:9" ht="281.25" x14ac:dyDescent="0.25">
      <c r="A76" s="6" t="s">
        <v>171</v>
      </c>
      <c r="B76" s="18" t="s">
        <v>132</v>
      </c>
      <c r="C76" s="12" t="s">
        <v>265</v>
      </c>
      <c r="D76" s="7" t="s">
        <v>81</v>
      </c>
      <c r="E76" s="9" t="s">
        <v>389</v>
      </c>
      <c r="F76" s="9"/>
      <c r="G76" s="9" t="s">
        <v>390</v>
      </c>
      <c r="H76" s="2" t="s">
        <v>279</v>
      </c>
      <c r="I76" s="6" t="s">
        <v>222</v>
      </c>
    </row>
    <row r="77" spans="1:9" ht="310.89999999999998" customHeight="1" x14ac:dyDescent="0.25">
      <c r="A77" s="6" t="s">
        <v>172</v>
      </c>
      <c r="B77" s="18" t="s">
        <v>253</v>
      </c>
      <c r="C77" s="12" t="s">
        <v>256</v>
      </c>
      <c r="D77" s="7" t="s">
        <v>81</v>
      </c>
      <c r="E77" s="9" t="s">
        <v>280</v>
      </c>
      <c r="F77" s="9"/>
      <c r="G77" s="9" t="s">
        <v>281</v>
      </c>
      <c r="H77" s="2" t="s">
        <v>279</v>
      </c>
      <c r="I77" s="6" t="s">
        <v>222</v>
      </c>
    </row>
    <row r="78" spans="1:9" ht="138.6" customHeight="1" x14ac:dyDescent="0.25">
      <c r="A78" s="6" t="s">
        <v>173</v>
      </c>
      <c r="B78" s="18" t="s">
        <v>252</v>
      </c>
      <c r="C78" s="12" t="s">
        <v>257</v>
      </c>
      <c r="D78" s="7" t="s">
        <v>81</v>
      </c>
      <c r="E78" s="9" t="s">
        <v>282</v>
      </c>
      <c r="F78" s="9"/>
      <c r="G78" s="9" t="s">
        <v>283</v>
      </c>
      <c r="H78" s="2" t="s">
        <v>279</v>
      </c>
      <c r="I78" s="6" t="s">
        <v>222</v>
      </c>
    </row>
    <row r="79" spans="1:9" ht="138.6" customHeight="1" x14ac:dyDescent="0.25">
      <c r="A79" s="6" t="s">
        <v>174</v>
      </c>
      <c r="B79" s="18" t="s">
        <v>258</v>
      </c>
      <c r="C79" s="12" t="s">
        <v>259</v>
      </c>
      <c r="D79" s="7" t="s">
        <v>81</v>
      </c>
      <c r="E79" s="9" t="s">
        <v>330</v>
      </c>
      <c r="F79" s="9"/>
      <c r="G79" s="9" t="s">
        <v>331</v>
      </c>
      <c r="H79" s="9" t="s">
        <v>284</v>
      </c>
      <c r="I79" s="6" t="s">
        <v>222</v>
      </c>
    </row>
    <row r="80" spans="1:9" ht="150" x14ac:dyDescent="0.25">
      <c r="A80" s="6" t="s">
        <v>175</v>
      </c>
      <c r="B80" s="13" t="s">
        <v>130</v>
      </c>
      <c r="C80" s="12" t="s">
        <v>115</v>
      </c>
      <c r="D80" s="7" t="s">
        <v>128</v>
      </c>
      <c r="E80" s="9" t="s">
        <v>405</v>
      </c>
      <c r="F80" s="9" t="s">
        <v>406</v>
      </c>
      <c r="G80" s="2" t="s">
        <v>407</v>
      </c>
      <c r="H80" s="2" t="s">
        <v>292</v>
      </c>
      <c r="I80" s="6" t="s">
        <v>222</v>
      </c>
    </row>
    <row r="81" spans="1:9" ht="187.5" x14ac:dyDescent="0.25">
      <c r="A81" s="6" t="s">
        <v>176</v>
      </c>
      <c r="B81" s="13" t="s">
        <v>131</v>
      </c>
      <c r="C81" s="12" t="s">
        <v>263</v>
      </c>
      <c r="D81" s="7" t="s">
        <v>128</v>
      </c>
      <c r="E81" s="9" t="s">
        <v>408</v>
      </c>
      <c r="F81" s="9" t="s">
        <v>409</v>
      </c>
      <c r="G81" s="2" t="s">
        <v>410</v>
      </c>
      <c r="H81" s="2" t="s">
        <v>292</v>
      </c>
      <c r="I81" s="6" t="s">
        <v>222</v>
      </c>
    </row>
    <row r="82" spans="1:9" ht="187.5" x14ac:dyDescent="0.25">
      <c r="A82" s="6" t="s">
        <v>177</v>
      </c>
      <c r="B82" s="13" t="s">
        <v>129</v>
      </c>
      <c r="C82" s="12" t="s">
        <v>264</v>
      </c>
      <c r="D82" s="7" t="s">
        <v>128</v>
      </c>
      <c r="E82" s="9" t="s">
        <v>411</v>
      </c>
      <c r="F82" s="9" t="s">
        <v>412</v>
      </c>
      <c r="G82" s="2" t="s">
        <v>413</v>
      </c>
      <c r="H82" s="2" t="s">
        <v>292</v>
      </c>
      <c r="I82" s="6" t="s">
        <v>222</v>
      </c>
    </row>
    <row r="83" spans="1:9" ht="168.75" x14ac:dyDescent="0.25">
      <c r="A83" s="6" t="s">
        <v>226</v>
      </c>
      <c r="B83" s="13" t="s">
        <v>133</v>
      </c>
      <c r="C83" s="12" t="s">
        <v>265</v>
      </c>
      <c r="D83" s="7" t="s">
        <v>128</v>
      </c>
      <c r="E83" s="9" t="s">
        <v>414</v>
      </c>
      <c r="F83" s="9" t="s">
        <v>415</v>
      </c>
      <c r="G83" s="2" t="s">
        <v>416</v>
      </c>
      <c r="H83" s="2" t="s">
        <v>292</v>
      </c>
      <c r="I83" s="6" t="s">
        <v>222</v>
      </c>
    </row>
    <row r="84" spans="1:9" ht="187.5" x14ac:dyDescent="0.25">
      <c r="A84" s="6" t="s">
        <v>227</v>
      </c>
      <c r="B84" s="13" t="s">
        <v>261</v>
      </c>
      <c r="C84" s="12" t="s">
        <v>256</v>
      </c>
      <c r="D84" s="7" t="s">
        <v>128</v>
      </c>
      <c r="E84" s="9" t="s">
        <v>417</v>
      </c>
      <c r="F84" s="9" t="s">
        <v>418</v>
      </c>
      <c r="G84" s="2" t="s">
        <v>419</v>
      </c>
      <c r="H84" s="2" t="s">
        <v>292</v>
      </c>
      <c r="I84" s="6" t="s">
        <v>222</v>
      </c>
    </row>
    <row r="85" spans="1:9" ht="187.5" x14ac:dyDescent="0.25">
      <c r="A85" s="6" t="s">
        <v>228</v>
      </c>
      <c r="B85" s="13" t="s">
        <v>262</v>
      </c>
      <c r="C85" s="12" t="s">
        <v>257</v>
      </c>
      <c r="D85" s="7" t="s">
        <v>128</v>
      </c>
      <c r="E85" s="9" t="s">
        <v>420</v>
      </c>
      <c r="F85" s="9" t="s">
        <v>421</v>
      </c>
      <c r="G85" s="2" t="s">
        <v>422</v>
      </c>
      <c r="H85" s="2" t="s">
        <v>292</v>
      </c>
      <c r="I85" s="6" t="s">
        <v>222</v>
      </c>
    </row>
    <row r="86" spans="1:9" ht="262.5" x14ac:dyDescent="0.25">
      <c r="A86" s="6" t="s">
        <v>233</v>
      </c>
      <c r="B86" s="19" t="s">
        <v>167</v>
      </c>
      <c r="C86" s="12" t="s">
        <v>275</v>
      </c>
      <c r="D86" s="7" t="s">
        <v>168</v>
      </c>
      <c r="E86" s="9" t="s">
        <v>391</v>
      </c>
      <c r="F86" s="9"/>
      <c r="G86" s="9" t="s">
        <v>392</v>
      </c>
      <c r="H86" s="9" t="s">
        <v>285</v>
      </c>
      <c r="I86" s="6" t="s">
        <v>222</v>
      </c>
    </row>
    <row r="87" spans="1:9" ht="300" x14ac:dyDescent="0.25">
      <c r="A87" s="6" t="s">
        <v>234</v>
      </c>
      <c r="B87" s="19" t="s">
        <v>163</v>
      </c>
      <c r="C87" s="12" t="s">
        <v>275</v>
      </c>
      <c r="D87" s="7" t="s">
        <v>164</v>
      </c>
      <c r="E87" s="9" t="s">
        <v>393</v>
      </c>
      <c r="F87" s="9"/>
      <c r="G87" s="9" t="s">
        <v>394</v>
      </c>
      <c r="H87" s="9" t="s">
        <v>285</v>
      </c>
      <c r="I87" s="6" t="s">
        <v>222</v>
      </c>
    </row>
    <row r="88" spans="1:9" ht="300" x14ac:dyDescent="0.25">
      <c r="A88" s="6" t="s">
        <v>235</v>
      </c>
      <c r="B88" s="19" t="s">
        <v>165</v>
      </c>
      <c r="C88" s="12" t="s">
        <v>275</v>
      </c>
      <c r="D88" s="7" t="s">
        <v>166</v>
      </c>
      <c r="E88" s="9" t="s">
        <v>395</v>
      </c>
      <c r="F88" s="9"/>
      <c r="G88" s="9" t="s">
        <v>396</v>
      </c>
      <c r="H88" s="9" t="s">
        <v>285</v>
      </c>
      <c r="I88" s="6" t="s">
        <v>222</v>
      </c>
    </row>
    <row r="89" spans="1:9" ht="281.25" x14ac:dyDescent="0.25">
      <c r="A89" s="6" t="s">
        <v>247</v>
      </c>
      <c r="B89" s="19" t="s">
        <v>159</v>
      </c>
      <c r="C89" s="12" t="s">
        <v>275</v>
      </c>
      <c r="D89" s="7" t="s">
        <v>160</v>
      </c>
      <c r="E89" s="9" t="s">
        <v>333</v>
      </c>
      <c r="F89" s="9" t="s">
        <v>286</v>
      </c>
      <c r="G89" s="9" t="s">
        <v>334</v>
      </c>
      <c r="H89" s="9" t="s">
        <v>285</v>
      </c>
      <c r="I89" s="6" t="s">
        <v>222</v>
      </c>
    </row>
    <row r="90" spans="1:9" ht="300" x14ac:dyDescent="0.25">
      <c r="A90" s="6" t="s">
        <v>248</v>
      </c>
      <c r="B90" s="19" t="s">
        <v>157</v>
      </c>
      <c r="C90" s="12" t="s">
        <v>275</v>
      </c>
      <c r="D90" s="7" t="s">
        <v>158</v>
      </c>
      <c r="E90" s="9" t="s">
        <v>397</v>
      </c>
      <c r="F90" s="9" t="s">
        <v>287</v>
      </c>
      <c r="G90" s="9" t="s">
        <v>398</v>
      </c>
      <c r="H90" s="9" t="s">
        <v>285</v>
      </c>
      <c r="I90" s="6" t="s">
        <v>222</v>
      </c>
    </row>
    <row r="91" spans="1:9" ht="300" x14ac:dyDescent="0.25">
      <c r="A91" s="6" t="s">
        <v>254</v>
      </c>
      <c r="B91" s="19" t="s">
        <v>155</v>
      </c>
      <c r="C91" s="12" t="s">
        <v>275</v>
      </c>
      <c r="D91" s="7" t="s">
        <v>156</v>
      </c>
      <c r="E91" s="9" t="s">
        <v>399</v>
      </c>
      <c r="F91" s="2" t="s">
        <v>288</v>
      </c>
      <c r="G91" s="9" t="s">
        <v>400</v>
      </c>
      <c r="H91" s="9" t="s">
        <v>285</v>
      </c>
      <c r="I91" s="6" t="s">
        <v>222</v>
      </c>
    </row>
    <row r="92" spans="1:9" ht="300" x14ac:dyDescent="0.25">
      <c r="A92" s="6" t="s">
        <v>255</v>
      </c>
      <c r="B92" s="19" t="s">
        <v>153</v>
      </c>
      <c r="C92" s="12" t="s">
        <v>275</v>
      </c>
      <c r="D92" s="7" t="s">
        <v>154</v>
      </c>
      <c r="E92" s="9" t="s">
        <v>401</v>
      </c>
      <c r="F92" s="2" t="s">
        <v>289</v>
      </c>
      <c r="G92" s="9" t="s">
        <v>402</v>
      </c>
      <c r="H92" s="9" t="s">
        <v>285</v>
      </c>
      <c r="I92" s="6" t="s">
        <v>222</v>
      </c>
    </row>
    <row r="93" spans="1:9" ht="262.5" x14ac:dyDescent="0.25">
      <c r="A93" s="6" t="s">
        <v>260</v>
      </c>
      <c r="B93" s="19" t="s">
        <v>151</v>
      </c>
      <c r="C93" s="12" t="s">
        <v>275</v>
      </c>
      <c r="D93" s="7" t="s">
        <v>152</v>
      </c>
      <c r="E93" s="9" t="s">
        <v>335</v>
      </c>
      <c r="F93" s="2" t="s">
        <v>290</v>
      </c>
      <c r="G93" s="9" t="s">
        <v>336</v>
      </c>
      <c r="H93" s="9" t="s">
        <v>332</v>
      </c>
      <c r="I93" s="6" t="s">
        <v>222</v>
      </c>
    </row>
    <row r="94" spans="1:9" ht="225" x14ac:dyDescent="0.25">
      <c r="A94" s="6" t="s">
        <v>266</v>
      </c>
      <c r="B94" s="19" t="s">
        <v>270</v>
      </c>
      <c r="C94" s="12" t="s">
        <v>275</v>
      </c>
      <c r="D94" s="7" t="s">
        <v>269</v>
      </c>
      <c r="E94" s="9" t="s">
        <v>337</v>
      </c>
      <c r="F94" s="2" t="s">
        <v>291</v>
      </c>
      <c r="G94" s="9" t="s">
        <v>338</v>
      </c>
      <c r="H94" s="9" t="s">
        <v>285</v>
      </c>
      <c r="I94" s="6" t="s">
        <v>222</v>
      </c>
    </row>
    <row r="95" spans="1:9" ht="281.25" x14ac:dyDescent="0.25">
      <c r="A95" s="6" t="s">
        <v>267</v>
      </c>
      <c r="B95" s="19" t="s">
        <v>161</v>
      </c>
      <c r="C95" s="12" t="s">
        <v>275</v>
      </c>
      <c r="D95" s="7" t="s">
        <v>162</v>
      </c>
      <c r="E95" s="9" t="s">
        <v>403</v>
      </c>
      <c r="F95" s="2" t="s">
        <v>286</v>
      </c>
      <c r="G95" s="9" t="s">
        <v>404</v>
      </c>
      <c r="H95" s="9" t="s">
        <v>285</v>
      </c>
      <c r="I95" s="6" t="s">
        <v>222</v>
      </c>
    </row>
    <row r="96" spans="1:9" x14ac:dyDescent="0.25">
      <c r="B96" s="7"/>
      <c r="C96" s="12"/>
      <c r="D96" s="7"/>
      <c r="E96" s="9"/>
      <c r="F96" s="9"/>
    </row>
    <row r="97" spans="1:9" ht="26.25" x14ac:dyDescent="0.25">
      <c r="A97" s="24" t="s">
        <v>187</v>
      </c>
      <c r="B97" s="25"/>
      <c r="C97" s="25"/>
      <c r="D97" s="25"/>
      <c r="E97" s="25"/>
      <c r="F97" s="25"/>
      <c r="G97" s="25"/>
      <c r="H97" s="25"/>
      <c r="I97" s="26"/>
    </row>
    <row r="98" spans="1:9" ht="243.75" x14ac:dyDescent="0.25">
      <c r="A98" s="6" t="s">
        <v>191</v>
      </c>
      <c r="B98" s="9" t="s">
        <v>185</v>
      </c>
      <c r="C98" s="12" t="s">
        <v>186</v>
      </c>
      <c r="D98" s="9" t="s">
        <v>188</v>
      </c>
      <c r="E98" s="9" t="s">
        <v>327</v>
      </c>
      <c r="G98" s="9" t="s">
        <v>276</v>
      </c>
      <c r="H98" s="9" t="s">
        <v>276</v>
      </c>
      <c r="I98" s="6" t="s">
        <v>221</v>
      </c>
    </row>
    <row r="99" spans="1:9" ht="243.75" x14ac:dyDescent="0.25">
      <c r="A99" s="6" t="s">
        <v>192</v>
      </c>
      <c r="B99" s="9" t="s">
        <v>190</v>
      </c>
      <c r="C99" s="12" t="s">
        <v>186</v>
      </c>
      <c r="D99" s="9" t="s">
        <v>189</v>
      </c>
      <c r="E99" s="9" t="s">
        <v>384</v>
      </c>
      <c r="G99" s="9" t="s">
        <v>277</v>
      </c>
      <c r="H99" s="9" t="s">
        <v>278</v>
      </c>
      <c r="I99" s="6" t="s">
        <v>222</v>
      </c>
    </row>
    <row r="102" spans="1:9" x14ac:dyDescent="0.25">
      <c r="B102" s="7"/>
      <c r="C102" s="7"/>
      <c r="D102" s="7"/>
    </row>
    <row r="103" spans="1:9" x14ac:dyDescent="0.25">
      <c r="B103" s="7"/>
      <c r="C103" s="7"/>
      <c r="D103" s="7"/>
    </row>
    <row r="104" spans="1:9" x14ac:dyDescent="0.25">
      <c r="B104" s="7"/>
      <c r="C104" s="7"/>
      <c r="D104" s="7"/>
    </row>
    <row r="105" spans="1:9" x14ac:dyDescent="0.25">
      <c r="B105" s="7"/>
      <c r="C105" s="7"/>
      <c r="D105" s="7"/>
    </row>
    <row r="106" spans="1:9" x14ac:dyDescent="0.25">
      <c r="B106" s="7"/>
      <c r="C106" s="7"/>
      <c r="D106" s="7"/>
    </row>
    <row r="107" spans="1:9" x14ac:dyDescent="0.25">
      <c r="B107" s="7"/>
      <c r="C107" s="7"/>
      <c r="D107" s="7"/>
    </row>
    <row r="108" spans="1:9" x14ac:dyDescent="0.25">
      <c r="B108" s="7"/>
      <c r="C108" s="7"/>
      <c r="D108" s="7"/>
    </row>
    <row r="109" spans="1:9" x14ac:dyDescent="0.25">
      <c r="B109" s="7"/>
      <c r="C109" s="7"/>
      <c r="D109" s="7"/>
    </row>
    <row r="110" spans="1:9" x14ac:dyDescent="0.25">
      <c r="B110" s="7"/>
      <c r="C110" s="7"/>
      <c r="D110" s="7"/>
    </row>
    <row r="111" spans="1:9" x14ac:dyDescent="0.25">
      <c r="B111" s="7"/>
      <c r="C111" s="7"/>
      <c r="D111" s="7"/>
    </row>
    <row r="112" spans="1:9" x14ac:dyDescent="0.25">
      <c r="B112" s="7"/>
      <c r="C112" s="7"/>
      <c r="D112" s="7"/>
    </row>
    <row r="113" spans="2:4" x14ac:dyDescent="0.25">
      <c r="B113" s="7"/>
      <c r="C113" s="7"/>
      <c r="D113" s="7"/>
    </row>
    <row r="114" spans="2:4" x14ac:dyDescent="0.25">
      <c r="B114" s="7"/>
      <c r="C114" s="7"/>
      <c r="D114" s="7"/>
    </row>
  </sheetData>
  <mergeCells count="5">
    <mergeCell ref="A5:I5"/>
    <mergeCell ref="A12:I12"/>
    <mergeCell ref="A42:I42"/>
    <mergeCell ref="A48:I48"/>
    <mergeCell ref="A97:I97"/>
  </mergeCells>
  <phoneticPr fontId="5" type="noConversion"/>
  <conditionalFormatting sqref="I6:I11 I13:I41 I43:I47 I49:I96 I98:I99">
    <cfRule type="cellIs" dxfId="2" priority="2" operator="equal">
      <formula>"Failed"</formula>
    </cfRule>
    <cfRule type="cellIs" dxfId="1" priority="3" operator="equal">
      <formula>"Passed"</formula>
    </cfRule>
  </conditionalFormatting>
  <conditionalFormatting sqref="P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Phát Hưng</dc:creator>
  <cp:lastModifiedBy>Nguyễn Phát Hưng</cp:lastModifiedBy>
  <dcterms:created xsi:type="dcterms:W3CDTF">2024-02-12T23:46:06Z</dcterms:created>
  <dcterms:modified xsi:type="dcterms:W3CDTF">2026-07-19T18:48:57Z</dcterms:modified>
</cp:coreProperties>
</file>